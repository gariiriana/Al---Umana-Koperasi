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DE+STANDAR PORSI" sheetId="1" r:id="rId5"/>
    <sheet state="visible" name="STANDAR RESEP" sheetId="2" r:id="rId6"/>
    <sheet state="visible" name="INFORMASI BAHAN PANGAN" sheetId="3" r:id="rId7"/>
    <sheet state="visible" name="DATA BANTU" sheetId="4" r:id="rId8"/>
    <sheet state="visible" name="Sheet7" sheetId="5" r:id="rId9"/>
    <sheet state="visible" name="Sheet3" sheetId="6" r:id="rId10"/>
  </sheets>
  <definedNames>
    <definedName name="Karbohidrat_Nasi">'DATA BANTU'!$A:$A</definedName>
    <definedName name="Lauk_Hewani_Telur_Ayam">'DATA BANTU'!$G:$G</definedName>
    <definedName name="Sayur">'DATA BANTU'!$S:$S</definedName>
    <definedName name="Lauk_Nabati_Tempe">'DATA BANTU'!$O:$O</definedName>
    <definedName name="Lauk_Hewani_Ikan">'DATA BANTU'!$K:$K</definedName>
    <definedName name="Lauk_Hewani_Ayam_Potong">'DATA BANTU'!$C:$C</definedName>
    <definedName name="Lauk_Nabati_Lainnya">'DATA BANTU'!$Q:$Q</definedName>
    <definedName name="Lauk_Nabati_Tahu">'DATA BANTU'!$M:$M</definedName>
    <definedName name="Lauk_Hewani_Daging_Sapi">'DATA BANTU'!$I:$I</definedName>
    <definedName name="Lauk_Hewani_Ayam_Fillet">'DATA BANTU'!$E:$E</definedName>
    <definedName name="Buah">'DATA BANTU'!$U:$U</definedName>
    <definedName hidden="1" localSheetId="1" name="_xlnm._FilterDatabase">'STANDAR RESEP'!$A$2:$B$1042</definedName>
  </definedNames>
  <calcPr/>
</workbook>
</file>

<file path=xl/sharedStrings.xml><?xml version="1.0" encoding="utf-8"?>
<sst xmlns="http://schemas.openxmlformats.org/spreadsheetml/2006/main" count="5005" uniqueCount="238">
  <si>
    <t>KODE MENU</t>
  </si>
  <si>
    <t>STANDAR PORSI</t>
  </si>
  <si>
    <t>KODE</t>
  </si>
  <si>
    <t>JENIS MENU</t>
  </si>
  <si>
    <t>NAMA MENU</t>
  </si>
  <si>
    <t>RINCIAN BAHAN UTAMA</t>
  </si>
  <si>
    <t>PORSI KECIL</t>
  </si>
  <si>
    <t>PORSI BESAR</t>
  </si>
  <si>
    <t>Karbohidrat (Nasi)</t>
  </si>
  <si>
    <t>Nasi Putih (Beras Premium)</t>
  </si>
  <si>
    <t>Nasi Premium</t>
  </si>
  <si>
    <t>Nasi Putih (Beras)</t>
  </si>
  <si>
    <t>Nasi</t>
  </si>
  <si>
    <t>Nasi Daun Jeruk (Beras Premium)</t>
  </si>
  <si>
    <t>Nasi Daun Jeruk (Beras)</t>
  </si>
  <si>
    <t>Nasi Liwet (Beras Premium)</t>
  </si>
  <si>
    <t>Nasi Liwet (Beras)</t>
  </si>
  <si>
    <t>Nasi Kuning (Beras Premium)</t>
  </si>
  <si>
    <t>Nasi Kuning (Beras)</t>
  </si>
  <si>
    <t>Nasi Uduk (Beras Premium)</t>
  </si>
  <si>
    <t>Nasi Uduk (Beras)</t>
  </si>
  <si>
    <t>Lauk Hewani (Ayam Potong)</t>
  </si>
  <si>
    <t>Ayam Kremes</t>
  </si>
  <si>
    <t>Ayam Potong</t>
  </si>
  <si>
    <t>Ayam Kecap</t>
  </si>
  <si>
    <t>Ayam Woku Kuning</t>
  </si>
  <si>
    <t>Kari Ayam Kental</t>
  </si>
  <si>
    <t>Ayam Serundeng</t>
  </si>
  <si>
    <t>Ayam Kentucky</t>
  </si>
  <si>
    <t>Lauk Hewani (Ayam Fillet)</t>
  </si>
  <si>
    <t>Ayam Fillet Saus Mentega</t>
  </si>
  <si>
    <t>Ayam Fillet</t>
  </si>
  <si>
    <t>Ayam Fillet Saus Teriyaki</t>
  </si>
  <si>
    <t>Ayam Fillet Saus Barbeque</t>
  </si>
  <si>
    <t>Ayam Suwir Kecap</t>
  </si>
  <si>
    <t>Ayam Suwir Kemangi Bumbu Kuning</t>
  </si>
  <si>
    <t>Ayam Suwir Kemangi Bumbu Rica</t>
  </si>
  <si>
    <t>Lauk Hewani (Telur Ayam)</t>
  </si>
  <si>
    <t>Telur Ceplok</t>
  </si>
  <si>
    <t>Telur Ayam</t>
  </si>
  <si>
    <t>Telur Dadar</t>
  </si>
  <si>
    <t>Telur Dadar Padang</t>
  </si>
  <si>
    <t>Semur Telur</t>
  </si>
  <si>
    <t>Balado Telur</t>
  </si>
  <si>
    <t>Lauk Hewani (Daging Sapi)</t>
  </si>
  <si>
    <t>Beef Slice Barbeque</t>
  </si>
  <si>
    <t>Daging Sapi</t>
  </si>
  <si>
    <t>Krecek Daging</t>
  </si>
  <si>
    <t>Rendang Daging</t>
  </si>
  <si>
    <t>Semur Daging</t>
  </si>
  <si>
    <t>Lauk Hewani (Ikan)</t>
  </si>
  <si>
    <t>Pesmol Nila</t>
  </si>
  <si>
    <t>Ikan Nila</t>
  </si>
  <si>
    <t>Tuna Suwir Bumbu Kuning</t>
  </si>
  <si>
    <t>Ikan Tuna</t>
  </si>
  <si>
    <t>Tuna Suwir Bumbu Rica</t>
  </si>
  <si>
    <t>Lele Fillet Crispy</t>
  </si>
  <si>
    <t>Ikan Lele Fillet</t>
  </si>
  <si>
    <t>Lauk Nabati (Tahu)</t>
  </si>
  <si>
    <t>Tahu Goreng</t>
  </si>
  <si>
    <t>Tahu</t>
  </si>
  <si>
    <t>Tahu Saus Asam Manis</t>
  </si>
  <si>
    <t>Tahu Fantasy</t>
  </si>
  <si>
    <t>Lauk Nabati (Tempe)</t>
  </si>
  <si>
    <t>Tempe Goreng</t>
  </si>
  <si>
    <t>Tempe</t>
  </si>
  <si>
    <t>Tempe Goreng Tepung</t>
  </si>
  <si>
    <t>Kering Tempe</t>
  </si>
  <si>
    <t>Lauk Nabati (Lainnya)</t>
  </si>
  <si>
    <t>Edamame</t>
  </si>
  <si>
    <t>Susu UHT Ultra Full Cream 125 ml</t>
  </si>
  <si>
    <t>Susu UHT Cimory Full Cream 125 ml</t>
  </si>
  <si>
    <t>Sayur</t>
  </si>
  <si>
    <t>Tumis Labu Siam Wortel</t>
  </si>
  <si>
    <t>Labu Siam</t>
  </si>
  <si>
    <t>Wortel</t>
  </si>
  <si>
    <t>Tumis Kangkung</t>
  </si>
  <si>
    <t>Kangkung</t>
  </si>
  <si>
    <t>Tumis Buncis Wortel</t>
  </si>
  <si>
    <t>Buncis</t>
  </si>
  <si>
    <t>Lalap Selada Mentimun</t>
  </si>
  <si>
    <t>Selada</t>
  </si>
  <si>
    <t>Mentimun</t>
  </si>
  <si>
    <t>Lalap Mentimun</t>
  </si>
  <si>
    <t>Tumis Sawi Putih Wortel</t>
  </si>
  <si>
    <t>Sawi Putih</t>
  </si>
  <si>
    <t>Tumis Bayam Jagung Pipil</t>
  </si>
  <si>
    <t>Bayam</t>
  </si>
  <si>
    <t>Jagung Manis Kupas</t>
  </si>
  <si>
    <t>Tumis Kacang Panjang</t>
  </si>
  <si>
    <t>Kacang Panjang</t>
  </si>
  <si>
    <t>Gulai Daun Singkong Nangka Muda</t>
  </si>
  <si>
    <t>Daun Singkong</t>
  </si>
  <si>
    <t>Nangka Muda</t>
  </si>
  <si>
    <t>Tumis Kol Wortel</t>
  </si>
  <si>
    <t>Kol</t>
  </si>
  <si>
    <t>Tumis Wortel Jagung Pipil</t>
  </si>
  <si>
    <t>Jagung Pipil</t>
  </si>
  <si>
    <t>Capcay</t>
  </si>
  <si>
    <t>Caisim</t>
  </si>
  <si>
    <t>Jamur Kuping</t>
  </si>
  <si>
    <t>Acar Kuning Buncis</t>
  </si>
  <si>
    <t>Acar Bening Mentimun Wortel</t>
  </si>
  <si>
    <t>Mentimun (Acar)</t>
  </si>
  <si>
    <t>Buah</t>
  </si>
  <si>
    <t>Pisang Ambon</t>
  </si>
  <si>
    <t>Jeruk Medan Polos</t>
  </si>
  <si>
    <t>Jeruk Medan Brastagi</t>
  </si>
  <si>
    <t>Jeruk Pontianak</t>
  </si>
  <si>
    <t>Kurma Sukari</t>
  </si>
  <si>
    <t>Anggur Merah Australia</t>
  </si>
  <si>
    <t>Kelengkeng Stiker Merah</t>
  </si>
  <si>
    <t>Kelengkeng Stiker Biru</t>
  </si>
  <si>
    <t>Apel Fuji (Uk 125)</t>
  </si>
  <si>
    <t>Apel Fuji (Uk 138)</t>
  </si>
  <si>
    <t>Pear Century</t>
  </si>
  <si>
    <t>Jeruk Sunkist Neval</t>
  </si>
  <si>
    <t>STANDAR RESEP</t>
  </si>
  <si>
    <t>BAHAN</t>
  </si>
  <si>
    <t>KEBUTUHAN</t>
  </si>
  <si>
    <t>SATUAN</t>
  </si>
  <si>
    <t>RESEP PER</t>
  </si>
  <si>
    <t>g</t>
  </si>
  <si>
    <t>Bawang Putih Kupas</t>
  </si>
  <si>
    <t>Sereh</t>
  </si>
  <si>
    <t>ikat</t>
  </si>
  <si>
    <t>Daun Jeruk</t>
  </si>
  <si>
    <t>Garam Refina @500g</t>
  </si>
  <si>
    <t>Totole Kaldu Jamur Non Kolesterol @1kg</t>
  </si>
  <si>
    <t>Santan Kelapa Sun Kara @1liter</t>
  </si>
  <si>
    <t>ml</t>
  </si>
  <si>
    <t>Bumbu Dasar Kuning</t>
  </si>
  <si>
    <t>Kunyit Giling</t>
  </si>
  <si>
    <t>Ketumbar Bubuk</t>
  </si>
  <si>
    <t>Daun Salam</t>
  </si>
  <si>
    <t>Gula Pasir</t>
  </si>
  <si>
    <t>Bawang Merah Iris</t>
  </si>
  <si>
    <t>Bumbu Dasar Putih</t>
  </si>
  <si>
    <t>Kencur</t>
  </si>
  <si>
    <t>Ayam Potong Kotor (Kg)</t>
  </si>
  <si>
    <t>Jahe Bonggol</t>
  </si>
  <si>
    <t>Lengkuas Bonggol</t>
  </si>
  <si>
    <t>Bawang Bombay</t>
  </si>
  <si>
    <t>Cabai Merah Besar</t>
  </si>
  <si>
    <t>Kecap Manis ABC @825g</t>
  </si>
  <si>
    <t>Lada Putih Bubuk</t>
  </si>
  <si>
    <t>Ayam Potong (Kg)</t>
  </si>
  <si>
    <t>Tepung Terigu Cakra Kembar @1kg</t>
  </si>
  <si>
    <t>Tepung Bumbu Kentucky Sasa @850g</t>
  </si>
  <si>
    <t>Maizena</t>
  </si>
  <si>
    <t>Bawang Putih Giling</t>
  </si>
  <si>
    <t>Jahe Giling</t>
  </si>
  <si>
    <t>Tepung Beras Rose Brand @500g</t>
  </si>
  <si>
    <t>Baking Powder Koepoe-Koepoe @45g</t>
  </si>
  <si>
    <t>Kelapa Parut</t>
  </si>
  <si>
    <t>Daun Kunyit</t>
  </si>
  <si>
    <t>Daun Kemangi</t>
  </si>
  <si>
    <t>Bumbu Dasar Kuning (Kunyit Sedikit)</t>
  </si>
  <si>
    <t>Daun Bawang</t>
  </si>
  <si>
    <t>Tomat Merah</t>
  </si>
  <si>
    <t>Daun Kari</t>
  </si>
  <si>
    <t>Bumbu Dasar Kari Ayam Kuning</t>
  </si>
  <si>
    <t>Kapulaga</t>
  </si>
  <si>
    <t>Kayu Manis</t>
  </si>
  <si>
    <t>Bunga Lawang</t>
  </si>
  <si>
    <t>Saus Barbeque Delmonte @1kg</t>
  </si>
  <si>
    <t>Ayam Fillet (Kg)</t>
  </si>
  <si>
    <t>Saus Bulgogi Saori @133ml</t>
  </si>
  <si>
    <t>Minyak Wijen @600ml</t>
  </si>
  <si>
    <t>Saus Sambal Delmonte Extra Hot @1kg</t>
  </si>
  <si>
    <t>Ayam Fillet (g)</t>
  </si>
  <si>
    <t>Ayam Ungkep (g)</t>
  </si>
  <si>
    <t>Saus Tomat Delmonte @1kg</t>
  </si>
  <si>
    <t>Blue Band Margarin</t>
  </si>
  <si>
    <t>Kecap Inggris ABC @195ml</t>
  </si>
  <si>
    <t>Saus Teriyaki Saori @1liter</t>
  </si>
  <si>
    <t>Saus Tiram Saori @1liter</t>
  </si>
  <si>
    <t>Kecap Asin ABC @620ml</t>
  </si>
  <si>
    <t>Cabai Hijau Besar</t>
  </si>
  <si>
    <t>Bumbu Dasar Rica</t>
  </si>
  <si>
    <t>Bumbu Dasar Balado</t>
  </si>
  <si>
    <t>Telur Ayam Kotor (Kg)</t>
  </si>
  <si>
    <t>Gula Aren</t>
  </si>
  <si>
    <t>Telur Ayam Bersih (Kg)</t>
  </si>
  <si>
    <t>Daging Sapi (Kg)</t>
  </si>
  <si>
    <t>Bawang Merah Kupas</t>
  </si>
  <si>
    <t>Bumbu Dasar Rendang</t>
  </si>
  <si>
    <t>Santan Kelapa Murni</t>
  </si>
  <si>
    <t>Lele Fillet (Kg)</t>
  </si>
  <si>
    <t>Ikan Nila Kotor (Kg)</t>
  </si>
  <si>
    <t>Bumbu Dasar Pesmol (Kunyit Sedikit)</t>
  </si>
  <si>
    <t>Ikan Tuna Utuh (Kg)</t>
  </si>
  <si>
    <t>Ikan Tuna Kukus Bersih (Kg)</t>
  </si>
  <si>
    <t>Tahu Kuning</t>
  </si>
  <si>
    <t>Tahu Kuning (g)</t>
  </si>
  <si>
    <t>Daun Seledri</t>
  </si>
  <si>
    <t>Bihun Jagung Padamu @300g</t>
  </si>
  <si>
    <t>Tepung Bumbu Serbaguna Sasa @900g</t>
  </si>
  <si>
    <t>Tempe (g)</t>
  </si>
  <si>
    <t>Cabai Merah Besar Giling</t>
  </si>
  <si>
    <t>Asam Jawa</t>
  </si>
  <si>
    <t>Tempe (Kg)</t>
  </si>
  <si>
    <t>Tepung Terigu Lencana Merah @1kg</t>
  </si>
  <si>
    <t>Cuka Makan Dixi @650ml</t>
  </si>
  <si>
    <t>Sayur (Kg)</t>
  </si>
  <si>
    <t>Timun Kotor (24) Wortel Kotor (15)</t>
  </si>
  <si>
    <t>Bumbu Dasar Acar Kuning</t>
  </si>
  <si>
    <t>Buncis Kotor (Kg)</t>
  </si>
  <si>
    <t>Buncis Bersih (Kg)</t>
  </si>
  <si>
    <t>Sayur Bersih (Kg)</t>
  </si>
  <si>
    <t>Bumbu Dasar Gulai Kuning</t>
  </si>
  <si>
    <t>INFORMASI BAHAN PANGAN</t>
  </si>
  <si>
    <t>KATEGORI BAHAN PANGAN</t>
  </si>
  <si>
    <t>KOLOM BANTU 1</t>
  </si>
  <si>
    <t>KOLOM BANTU 2</t>
  </si>
  <si>
    <t>KOLOM BANTU 3</t>
  </si>
  <si>
    <t>NAMA BAHAN</t>
  </si>
  <si>
    <t>%BDD</t>
  </si>
  <si>
    <t>HARGA</t>
  </si>
  <si>
    <t>UNIT BELI</t>
  </si>
  <si>
    <t>Bahan Utama</t>
  </si>
  <si>
    <t>Bumbu Pelengkap</t>
  </si>
  <si>
    <t>Bumbu Dasar</t>
  </si>
  <si>
    <t>kg</t>
  </si>
  <si>
    <t>botol</t>
  </si>
  <si>
    <t>Ikan Lele</t>
  </si>
  <si>
    <t>pcs</t>
  </si>
  <si>
    <t>butir</t>
  </si>
  <si>
    <t>liter</t>
  </si>
  <si>
    <t>lonjor</t>
  </si>
  <si>
    <t>KODE BARANG</t>
  </si>
  <si>
    <t>NAMA BARANG</t>
  </si>
  <si>
    <t>UNIT</t>
  </si>
  <si>
    <t>HARGA LAMA</t>
  </si>
  <si>
    <t>HARGA BARU</t>
  </si>
  <si>
    <t>UPDATE HARGA</t>
  </si>
  <si>
    <t>USE</t>
  </si>
  <si>
    <t>HARGA PER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</si>
</sst>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7">
    <font>
      <sz val="10.0"/>
      <color rgb="FF000000"/>
      <name val="Arial"/>
      <scheme val="minor"/>
    </font>
    <font>
      <b/>
      <sz val="16.0"/>
      <color theme="1"/>
      <name val="Times New Roman"/>
    </font>
    <font/>
    <font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5" numFmtId="0" xfId="0" applyFont="1"/>
    <xf borderId="4" fillId="5" fontId="4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/>
    </xf>
    <xf borderId="4" fillId="4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4" fillId="0" fontId="5" numFmtId="0" xfId="0" applyBorder="1" applyFont="1"/>
    <xf borderId="0" fillId="0" fontId="1" numFmtId="0" xfId="0" applyAlignment="1" applyFont="1">
      <alignment readingOrder="0"/>
    </xf>
    <xf borderId="0" fillId="0" fontId="5" numFmtId="9" xfId="0" applyAlignment="1" applyFont="1" applyNumberFormat="1">
      <alignment horizontal="center"/>
    </xf>
    <xf borderId="0" fillId="0" fontId="5" numFmtId="164" xfId="0" applyFont="1" applyNumberForma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4" fillId="6" fontId="4" numFmtId="0" xfId="0" applyAlignment="1" applyBorder="1" applyFill="1" applyFont="1">
      <alignment horizontal="center" readingOrder="0"/>
    </xf>
    <xf borderId="4" fillId="6" fontId="4" numFmtId="9" xfId="0" applyAlignment="1" applyBorder="1" applyFont="1" applyNumberFormat="1">
      <alignment horizontal="center" readingOrder="0"/>
    </xf>
    <xf borderId="4" fillId="6" fontId="4" numFmtId="164" xfId="0" applyAlignment="1" applyBorder="1" applyFont="1" applyNumberFormat="1">
      <alignment horizontal="center" readingOrder="0"/>
    </xf>
    <xf borderId="4" fillId="6" fontId="6" numFmtId="0" xfId="0" applyAlignment="1" applyBorder="1" applyFont="1">
      <alignment horizontal="center" readingOrder="0"/>
    </xf>
    <xf borderId="4" fillId="0" fontId="5" numFmtId="9" xfId="0" applyAlignment="1" applyBorder="1" applyFont="1" applyNumberFormat="1">
      <alignment horizontal="center" readingOrder="0"/>
    </xf>
    <xf borderId="4" fillId="0" fontId="5" numFmtId="164" xfId="0" applyAlignment="1" applyBorder="1" applyFont="1" applyNumberFormat="1">
      <alignment readingOrder="0"/>
    </xf>
    <xf borderId="4" fillId="0" fontId="5" numFmtId="164" xfId="0" applyBorder="1" applyFont="1" applyNumberFormat="1"/>
    <xf borderId="4" fillId="4" fontId="5" numFmtId="0" xfId="0" applyBorder="1" applyFont="1"/>
    <xf borderId="4" fillId="7" fontId="5" numFmtId="0" xfId="0" applyBorder="1" applyFill="1" applyFont="1"/>
    <xf borderId="4" fillId="0" fontId="5" numFmtId="9" xfId="0" applyAlignment="1" applyBorder="1" applyFont="1" applyNumberFormat="1">
      <alignment horizontal="center"/>
    </xf>
    <xf borderId="0" fillId="4" fontId="5" numFmtId="0" xfId="0" applyFont="1"/>
    <xf borderId="0" fillId="8" fontId="5" numFmtId="0" xfId="0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28575</xdr:colOff>
      <xdr:row>2</xdr:row>
      <xdr:rowOff>85725</xdr:rowOff>
    </xdr:from>
    <xdr:ext cx="3381375" cy="3600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666750</xdr:colOff>
      <xdr:row>15</xdr:row>
      <xdr:rowOff>114300</xdr:rowOff>
    </xdr:from>
    <xdr:ext cx="3676650" cy="403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5.0"/>
    <col customWidth="1" min="3" max="3" width="31.63"/>
    <col customWidth="1" min="4" max="4" width="31.88"/>
    <col customWidth="1" min="7" max="7" width="3.38"/>
    <col hidden="1" min="8" max="27" width="12.63"/>
  </cols>
  <sheetData>
    <row r="1">
      <c r="A1" s="1" t="s">
        <v>0</v>
      </c>
      <c r="B1" s="2"/>
      <c r="C1" s="3"/>
      <c r="D1" s="4" t="s">
        <v>1</v>
      </c>
      <c r="E1" s="2"/>
      <c r="F1" s="3"/>
      <c r="G1" s="5"/>
      <c r="H1" s="5"/>
      <c r="I1" s="5"/>
      <c r="J1" s="5"/>
      <c r="K1" s="5"/>
      <c r="L1" s="5"/>
      <c r="M1" s="5"/>
      <c r="N1" s="6"/>
      <c r="O1" s="6"/>
      <c r="P1" s="6"/>
      <c r="Q1" s="6"/>
      <c r="R1" s="6"/>
      <c r="S1" s="6"/>
      <c r="T1" s="6"/>
      <c r="U1" s="6"/>
      <c r="V1" s="6"/>
      <c r="W1" s="5"/>
      <c r="X1" s="5"/>
      <c r="Y1" s="5"/>
      <c r="Z1" s="5"/>
      <c r="AA1" s="5"/>
    </row>
    <row r="2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>
        <v>1111.0</v>
      </c>
      <c r="B3" s="9" t="s">
        <v>8</v>
      </c>
      <c r="C3" s="9" t="s">
        <v>9</v>
      </c>
      <c r="D3" s="9" t="s">
        <v>10</v>
      </c>
      <c r="E3" s="9">
        <v>100.0</v>
      </c>
      <c r="F3" s="9">
        <v>180.0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8">
        <v>1112.0</v>
      </c>
      <c r="B4" s="9" t="s">
        <v>8</v>
      </c>
      <c r="C4" s="9" t="s">
        <v>11</v>
      </c>
      <c r="D4" s="9" t="s">
        <v>12</v>
      </c>
      <c r="E4" s="9">
        <v>100.0</v>
      </c>
      <c r="F4" s="9">
        <v>180.0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8">
        <v>1113.0</v>
      </c>
      <c r="B5" s="9" t="s">
        <v>8</v>
      </c>
      <c r="C5" s="9" t="s">
        <v>13</v>
      </c>
      <c r="D5" s="9" t="s">
        <v>10</v>
      </c>
      <c r="E5" s="9">
        <v>100.0</v>
      </c>
      <c r="F5" s="9">
        <v>180.0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8">
        <v>1114.0</v>
      </c>
      <c r="B6" s="9" t="s">
        <v>8</v>
      </c>
      <c r="C6" s="9" t="s">
        <v>14</v>
      </c>
      <c r="D6" s="9" t="s">
        <v>12</v>
      </c>
      <c r="E6" s="9">
        <v>100.0</v>
      </c>
      <c r="F6" s="9">
        <v>180.0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8">
        <v>1115.0</v>
      </c>
      <c r="B7" s="9" t="s">
        <v>8</v>
      </c>
      <c r="C7" s="9" t="s">
        <v>15</v>
      </c>
      <c r="D7" s="9" t="s">
        <v>10</v>
      </c>
      <c r="E7" s="9">
        <v>100.0</v>
      </c>
      <c r="F7" s="9">
        <v>180.0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8">
        <v>1116.0</v>
      </c>
      <c r="B8" s="9" t="s">
        <v>8</v>
      </c>
      <c r="C8" s="9" t="s">
        <v>16</v>
      </c>
      <c r="D8" s="9" t="s">
        <v>12</v>
      </c>
      <c r="E8" s="9">
        <v>100.0</v>
      </c>
      <c r="F8" s="9">
        <v>180.0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8">
        <v>1117.0</v>
      </c>
      <c r="B9" s="9" t="s">
        <v>8</v>
      </c>
      <c r="C9" s="9" t="s">
        <v>17</v>
      </c>
      <c r="D9" s="9" t="s">
        <v>10</v>
      </c>
      <c r="E9" s="9">
        <v>100.0</v>
      </c>
      <c r="F9" s="9">
        <v>180.0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8">
        <v>1118.0</v>
      </c>
      <c r="B10" s="9" t="s">
        <v>8</v>
      </c>
      <c r="C10" s="9" t="s">
        <v>18</v>
      </c>
      <c r="D10" s="9" t="s">
        <v>12</v>
      </c>
      <c r="E10" s="9">
        <v>100.0</v>
      </c>
      <c r="F10" s="9">
        <v>180.0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8">
        <v>1119.0</v>
      </c>
      <c r="B11" s="9" t="s">
        <v>8</v>
      </c>
      <c r="C11" s="9" t="s">
        <v>19</v>
      </c>
      <c r="D11" s="9" t="s">
        <v>10</v>
      </c>
      <c r="E11" s="9">
        <v>100.0</v>
      </c>
      <c r="F11" s="9">
        <v>180.0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8">
        <v>1120.0</v>
      </c>
      <c r="B12" s="9" t="s">
        <v>8</v>
      </c>
      <c r="C12" s="9" t="s">
        <v>20</v>
      </c>
      <c r="D12" s="9" t="s">
        <v>12</v>
      </c>
      <c r="E12" s="9">
        <v>100.0</v>
      </c>
      <c r="F12" s="9">
        <v>180.0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8">
        <v>2111.0</v>
      </c>
      <c r="B13" s="9" t="s">
        <v>21</v>
      </c>
      <c r="C13" s="9" t="s">
        <v>22</v>
      </c>
      <c r="D13" s="9" t="s">
        <v>23</v>
      </c>
      <c r="E13" s="9">
        <v>48.3</v>
      </c>
      <c r="F13" s="9">
        <v>58.0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8">
        <v>2112.0</v>
      </c>
      <c r="B14" s="9" t="s">
        <v>21</v>
      </c>
      <c r="C14" s="9" t="s">
        <v>24</v>
      </c>
      <c r="D14" s="9" t="s">
        <v>23</v>
      </c>
      <c r="E14" s="9">
        <v>48.3</v>
      </c>
      <c r="F14" s="9">
        <v>58.0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8">
        <v>2113.0</v>
      </c>
      <c r="B15" s="9" t="s">
        <v>21</v>
      </c>
      <c r="C15" s="9" t="s">
        <v>25</v>
      </c>
      <c r="D15" s="9" t="s">
        <v>23</v>
      </c>
      <c r="E15" s="9">
        <v>48.3</v>
      </c>
      <c r="F15" s="9">
        <v>58.0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8">
        <v>2114.0</v>
      </c>
      <c r="B16" s="9" t="s">
        <v>21</v>
      </c>
      <c r="C16" s="9" t="s">
        <v>26</v>
      </c>
      <c r="D16" s="9" t="s">
        <v>23</v>
      </c>
      <c r="E16" s="9">
        <v>48.3</v>
      </c>
      <c r="F16" s="9">
        <v>58.0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8">
        <v>2115.0</v>
      </c>
      <c r="B17" s="9" t="s">
        <v>21</v>
      </c>
      <c r="C17" s="9" t="s">
        <v>27</v>
      </c>
      <c r="D17" s="9" t="s">
        <v>23</v>
      </c>
      <c r="E17" s="9">
        <v>48.3</v>
      </c>
      <c r="F17" s="9">
        <v>58.0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8">
        <v>2116.0</v>
      </c>
      <c r="B18" s="9" t="s">
        <v>21</v>
      </c>
      <c r="C18" s="9" t="s">
        <v>28</v>
      </c>
      <c r="D18" s="9" t="s">
        <v>23</v>
      </c>
      <c r="E18" s="9">
        <v>48.3</v>
      </c>
      <c r="F18" s="9">
        <v>48.3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8">
        <v>2121.0</v>
      </c>
      <c r="B19" s="9" t="s">
        <v>29</v>
      </c>
      <c r="C19" s="9" t="s">
        <v>30</v>
      </c>
      <c r="D19" s="9" t="s">
        <v>31</v>
      </c>
      <c r="E19" s="9">
        <v>50.0</v>
      </c>
      <c r="F19" s="9">
        <v>65.0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8">
        <v>2122.0</v>
      </c>
      <c r="B20" s="9" t="s">
        <v>29</v>
      </c>
      <c r="C20" s="9" t="s">
        <v>32</v>
      </c>
      <c r="D20" s="9" t="s">
        <v>31</v>
      </c>
      <c r="E20" s="9">
        <v>50.0</v>
      </c>
      <c r="F20" s="9">
        <v>65.0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8">
        <v>2123.0</v>
      </c>
      <c r="B21" s="9" t="s">
        <v>29</v>
      </c>
      <c r="C21" s="9" t="s">
        <v>33</v>
      </c>
      <c r="D21" s="9" t="s">
        <v>31</v>
      </c>
      <c r="E21" s="9">
        <v>50.0</v>
      </c>
      <c r="F21" s="9">
        <v>65.0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8">
        <v>2124.0</v>
      </c>
      <c r="B22" s="9" t="s">
        <v>29</v>
      </c>
      <c r="C22" s="9" t="s">
        <v>34</v>
      </c>
      <c r="D22" s="9" t="s">
        <v>31</v>
      </c>
      <c r="E22" s="9">
        <v>50.0</v>
      </c>
      <c r="F22" s="9">
        <v>65.0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8">
        <v>2125.0</v>
      </c>
      <c r="B23" s="9" t="s">
        <v>29</v>
      </c>
      <c r="C23" s="9" t="s">
        <v>35</v>
      </c>
      <c r="D23" s="9" t="s">
        <v>31</v>
      </c>
      <c r="E23" s="9">
        <v>50.0</v>
      </c>
      <c r="F23" s="9">
        <v>65.0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8">
        <v>2126.0</v>
      </c>
      <c r="B24" s="9" t="s">
        <v>29</v>
      </c>
      <c r="C24" s="9" t="s">
        <v>36</v>
      </c>
      <c r="D24" s="9" t="s">
        <v>31</v>
      </c>
      <c r="E24" s="9">
        <v>50.0</v>
      </c>
      <c r="F24" s="9">
        <v>65.0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8">
        <v>2211.0</v>
      </c>
      <c r="B25" s="9" t="s">
        <v>37</v>
      </c>
      <c r="C25" s="9" t="s">
        <v>38</v>
      </c>
      <c r="D25" s="9" t="s">
        <v>39</v>
      </c>
      <c r="E25" s="9">
        <v>63.6</v>
      </c>
      <c r="F25" s="9">
        <v>63.6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8">
        <v>2212.0</v>
      </c>
      <c r="B26" s="9" t="s">
        <v>37</v>
      </c>
      <c r="C26" s="9" t="s">
        <v>40</v>
      </c>
      <c r="D26" s="9" t="s">
        <v>39</v>
      </c>
      <c r="E26" s="9">
        <v>63.6</v>
      </c>
      <c r="F26" s="9">
        <v>63.6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8">
        <v>2213.0</v>
      </c>
      <c r="B27" s="9" t="s">
        <v>37</v>
      </c>
      <c r="C27" s="9" t="s">
        <v>41</v>
      </c>
      <c r="D27" s="9" t="s">
        <v>39</v>
      </c>
      <c r="E27" s="9">
        <v>63.6</v>
      </c>
      <c r="F27" s="9">
        <v>63.6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8">
        <v>2214.0</v>
      </c>
      <c r="B28" s="9" t="s">
        <v>37</v>
      </c>
      <c r="C28" s="9" t="s">
        <v>42</v>
      </c>
      <c r="D28" s="9" t="s">
        <v>39</v>
      </c>
      <c r="E28" s="9">
        <v>63.6</v>
      </c>
      <c r="F28" s="9">
        <v>63.6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8">
        <v>2215.0</v>
      </c>
      <c r="B29" s="9" t="s">
        <v>37</v>
      </c>
      <c r="C29" s="9" t="s">
        <v>43</v>
      </c>
      <c r="D29" s="9" t="s">
        <v>39</v>
      </c>
      <c r="E29" s="9">
        <v>63.6</v>
      </c>
      <c r="F29" s="9">
        <v>63.6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8">
        <v>2311.0</v>
      </c>
      <c r="B30" s="9" t="s">
        <v>44</v>
      </c>
      <c r="C30" s="9" t="s">
        <v>45</v>
      </c>
      <c r="D30" s="9" t="s">
        <v>46</v>
      </c>
      <c r="E30" s="9">
        <v>45.0</v>
      </c>
      <c r="F30" s="9">
        <v>55.0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8">
        <v>2312.0</v>
      </c>
      <c r="B31" s="9" t="s">
        <v>44</v>
      </c>
      <c r="C31" s="9" t="s">
        <v>47</v>
      </c>
      <c r="D31" s="9" t="s">
        <v>46</v>
      </c>
      <c r="E31" s="9">
        <v>44.4</v>
      </c>
      <c r="F31" s="9">
        <v>44.4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8">
        <v>2313.0</v>
      </c>
      <c r="B32" s="9" t="s">
        <v>44</v>
      </c>
      <c r="C32" s="9" t="s">
        <v>48</v>
      </c>
      <c r="D32" s="9" t="s">
        <v>46</v>
      </c>
      <c r="E32" s="9">
        <v>43.5</v>
      </c>
      <c r="F32" s="9">
        <v>43.5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8">
        <v>2314.0</v>
      </c>
      <c r="B33" s="9" t="s">
        <v>44</v>
      </c>
      <c r="C33" s="9" t="s">
        <v>49</v>
      </c>
      <c r="D33" s="9" t="s">
        <v>46</v>
      </c>
      <c r="E33" s="9">
        <v>43.5</v>
      </c>
      <c r="F33" s="9">
        <v>43.5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8">
        <v>2411.0</v>
      </c>
      <c r="B34" s="9" t="s">
        <v>50</v>
      </c>
      <c r="C34" s="9" t="s">
        <v>51</v>
      </c>
      <c r="D34" s="9" t="s">
        <v>52</v>
      </c>
      <c r="E34" s="9">
        <v>88.9</v>
      </c>
      <c r="F34" s="9">
        <v>88.9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8">
        <v>2412.0</v>
      </c>
      <c r="B35" s="9" t="s">
        <v>50</v>
      </c>
      <c r="C35" s="9" t="s">
        <v>53</v>
      </c>
      <c r="D35" s="9" t="s">
        <v>54</v>
      </c>
      <c r="E35" s="9">
        <v>50.0</v>
      </c>
      <c r="F35" s="9">
        <v>60.0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8">
        <v>2413.0</v>
      </c>
      <c r="B36" s="9" t="s">
        <v>50</v>
      </c>
      <c r="C36" s="9" t="s">
        <v>55</v>
      </c>
      <c r="D36" s="9" t="s">
        <v>54</v>
      </c>
      <c r="E36" s="9">
        <v>50.0</v>
      </c>
      <c r="F36" s="9">
        <v>60.0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8">
        <v>2414.0</v>
      </c>
      <c r="B37" s="9" t="s">
        <v>50</v>
      </c>
      <c r="C37" s="9" t="s">
        <v>56</v>
      </c>
      <c r="D37" s="9" t="s">
        <v>57</v>
      </c>
      <c r="E37" s="9">
        <v>40.0</v>
      </c>
      <c r="F37" s="9">
        <v>50.0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8">
        <v>3111.0</v>
      </c>
      <c r="B38" s="9" t="s">
        <v>58</v>
      </c>
      <c r="C38" s="9" t="s">
        <v>59</v>
      </c>
      <c r="D38" s="9" t="s">
        <v>60</v>
      </c>
      <c r="E38" s="9">
        <v>35.0</v>
      </c>
      <c r="F38" s="9">
        <v>50.0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">
        <v>3112.0</v>
      </c>
      <c r="B39" s="9" t="s">
        <v>58</v>
      </c>
      <c r="C39" s="9" t="s">
        <v>61</v>
      </c>
      <c r="D39" s="9" t="s">
        <v>60</v>
      </c>
      <c r="E39" s="9">
        <v>35.0</v>
      </c>
      <c r="F39" s="9">
        <v>52.5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">
        <v>3113.0</v>
      </c>
      <c r="B40" s="9" t="s">
        <v>58</v>
      </c>
      <c r="C40" s="9" t="s">
        <v>62</v>
      </c>
      <c r="D40" s="9" t="s">
        <v>60</v>
      </c>
      <c r="E40" s="9">
        <v>35.0</v>
      </c>
      <c r="F40" s="9">
        <v>50.0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">
        <v>3211.0</v>
      </c>
      <c r="B41" s="9" t="s">
        <v>63</v>
      </c>
      <c r="C41" s="9" t="s">
        <v>64</v>
      </c>
      <c r="D41" s="9" t="s">
        <v>65</v>
      </c>
      <c r="E41" s="9">
        <v>27.5</v>
      </c>
      <c r="F41" s="9">
        <v>33.0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">
        <v>3212.0</v>
      </c>
      <c r="B42" s="9" t="s">
        <v>63</v>
      </c>
      <c r="C42" s="9" t="s">
        <v>66</v>
      </c>
      <c r="D42" s="9" t="s">
        <v>65</v>
      </c>
      <c r="E42" s="9">
        <v>27.5</v>
      </c>
      <c r="F42" s="9">
        <v>33.0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8">
        <v>3213.0</v>
      </c>
      <c r="B43" s="9" t="s">
        <v>63</v>
      </c>
      <c r="C43" s="9" t="s">
        <v>67</v>
      </c>
      <c r="D43" s="9" t="s">
        <v>65</v>
      </c>
      <c r="E43" s="9">
        <v>32.0</v>
      </c>
      <c r="F43" s="9">
        <v>47.0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8">
        <v>3311.0</v>
      </c>
      <c r="B44" s="9" t="s">
        <v>68</v>
      </c>
      <c r="C44" s="9" t="s">
        <v>69</v>
      </c>
      <c r="D44" s="9" t="s">
        <v>69</v>
      </c>
      <c r="E44" s="9">
        <v>12.5</v>
      </c>
      <c r="F44" s="9">
        <v>15.0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8">
        <v>3312.0</v>
      </c>
      <c r="B45" s="9" t="s">
        <v>68</v>
      </c>
      <c r="C45" s="9" t="s">
        <v>70</v>
      </c>
      <c r="D45" s="9" t="s">
        <v>70</v>
      </c>
      <c r="E45" s="9">
        <v>1.0</v>
      </c>
      <c r="F45" s="9">
        <v>1.0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8">
        <v>3313.0</v>
      </c>
      <c r="B46" s="9" t="s">
        <v>68</v>
      </c>
      <c r="C46" s="9" t="s">
        <v>71</v>
      </c>
      <c r="D46" s="9" t="s">
        <v>71</v>
      </c>
      <c r="E46" s="9">
        <v>1.0</v>
      </c>
      <c r="F46" s="9">
        <v>1.0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8">
        <v>4111.0</v>
      </c>
      <c r="B47" s="9" t="s">
        <v>72</v>
      </c>
      <c r="C47" s="9" t="s">
        <v>73</v>
      </c>
      <c r="D47" s="9" t="s">
        <v>74</v>
      </c>
      <c r="E47" s="9">
        <v>20.0</v>
      </c>
      <c r="F47" s="9">
        <v>30.0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8">
        <v>4111.0</v>
      </c>
      <c r="B48" s="9" t="s">
        <v>72</v>
      </c>
      <c r="C48" s="9" t="s">
        <v>73</v>
      </c>
      <c r="D48" s="9" t="s">
        <v>75</v>
      </c>
      <c r="E48" s="9">
        <v>20.0</v>
      </c>
      <c r="F48" s="9">
        <v>30.0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8">
        <v>4112.0</v>
      </c>
      <c r="B49" s="9" t="s">
        <v>72</v>
      </c>
      <c r="C49" s="9" t="s">
        <v>76</v>
      </c>
      <c r="D49" s="9" t="s">
        <v>77</v>
      </c>
      <c r="E49" s="9">
        <v>40.0</v>
      </c>
      <c r="F49" s="9">
        <v>60.0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8">
        <v>4113.0</v>
      </c>
      <c r="B50" s="9" t="s">
        <v>72</v>
      </c>
      <c r="C50" s="9" t="s">
        <v>78</v>
      </c>
      <c r="D50" s="9" t="s">
        <v>79</v>
      </c>
      <c r="E50" s="9">
        <v>20.0</v>
      </c>
      <c r="F50" s="9">
        <v>60.0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8">
        <v>4113.0</v>
      </c>
      <c r="B51" s="9" t="s">
        <v>72</v>
      </c>
      <c r="C51" s="9" t="s">
        <v>78</v>
      </c>
      <c r="D51" s="9" t="s">
        <v>75</v>
      </c>
      <c r="E51" s="9">
        <v>20.0</v>
      </c>
      <c r="F51" s="9">
        <v>60.0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8">
        <v>4114.0</v>
      </c>
      <c r="B52" s="9" t="s">
        <v>72</v>
      </c>
      <c r="C52" s="9" t="s">
        <v>80</v>
      </c>
      <c r="D52" s="9" t="s">
        <v>81</v>
      </c>
      <c r="E52" s="9">
        <v>11.0</v>
      </c>
      <c r="F52" s="9">
        <v>11.0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8">
        <v>4114.0</v>
      </c>
      <c r="B53" s="9" t="s">
        <v>72</v>
      </c>
      <c r="C53" s="9" t="s">
        <v>80</v>
      </c>
      <c r="D53" s="9" t="s">
        <v>82</v>
      </c>
      <c r="E53" s="9">
        <v>26.0</v>
      </c>
      <c r="F53" s="9">
        <v>26.0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8">
        <v>4115.0</v>
      </c>
      <c r="B54" s="9" t="s">
        <v>72</v>
      </c>
      <c r="C54" s="9" t="s">
        <v>83</v>
      </c>
      <c r="D54" s="9" t="s">
        <v>82</v>
      </c>
      <c r="E54" s="9">
        <v>39.0</v>
      </c>
      <c r="F54" s="9">
        <v>39.0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8">
        <v>4116.0</v>
      </c>
      <c r="B55" s="9" t="s">
        <v>72</v>
      </c>
      <c r="C55" s="9" t="s">
        <v>84</v>
      </c>
      <c r="D55" s="9" t="s">
        <v>85</v>
      </c>
      <c r="E55" s="9">
        <v>20.0</v>
      </c>
      <c r="F55" s="9">
        <v>30.0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8">
        <v>4116.0</v>
      </c>
      <c r="B56" s="9" t="s">
        <v>72</v>
      </c>
      <c r="C56" s="9" t="s">
        <v>84</v>
      </c>
      <c r="D56" s="9" t="s">
        <v>75</v>
      </c>
      <c r="E56" s="9">
        <v>20.0</v>
      </c>
      <c r="F56" s="9">
        <v>30.0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8">
        <v>4117.0</v>
      </c>
      <c r="B57" s="9" t="s">
        <v>72</v>
      </c>
      <c r="C57" s="9" t="s">
        <v>86</v>
      </c>
      <c r="D57" s="9" t="s">
        <v>87</v>
      </c>
      <c r="E57" s="9">
        <v>30.0</v>
      </c>
      <c r="F57" s="9">
        <v>45.0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8">
        <v>4117.0</v>
      </c>
      <c r="B58" s="9" t="s">
        <v>72</v>
      </c>
      <c r="C58" s="9" t="s">
        <v>86</v>
      </c>
      <c r="D58" s="9" t="s">
        <v>88</v>
      </c>
      <c r="E58" s="9">
        <v>10.0</v>
      </c>
      <c r="F58" s="9">
        <v>15.0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8">
        <v>4118.0</v>
      </c>
      <c r="B59" s="9" t="s">
        <v>72</v>
      </c>
      <c r="C59" s="9" t="s">
        <v>89</v>
      </c>
      <c r="D59" s="9" t="s">
        <v>90</v>
      </c>
      <c r="E59" s="9">
        <v>40.0</v>
      </c>
      <c r="F59" s="9">
        <v>60.0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8">
        <v>4119.0</v>
      </c>
      <c r="B60" s="9" t="s">
        <v>72</v>
      </c>
      <c r="C60" s="9" t="s">
        <v>91</v>
      </c>
      <c r="D60" s="9" t="s">
        <v>92</v>
      </c>
      <c r="E60" s="9">
        <v>20.0</v>
      </c>
      <c r="F60" s="9">
        <v>30.0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8">
        <v>4119.0</v>
      </c>
      <c r="B61" s="9" t="s">
        <v>72</v>
      </c>
      <c r="C61" s="9" t="s">
        <v>91</v>
      </c>
      <c r="D61" s="9" t="s">
        <v>93</v>
      </c>
      <c r="E61" s="9">
        <v>20.0</v>
      </c>
      <c r="F61" s="9">
        <v>30.0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8">
        <v>4120.0</v>
      </c>
      <c r="B62" s="9" t="s">
        <v>72</v>
      </c>
      <c r="C62" s="9" t="s">
        <v>94</v>
      </c>
      <c r="D62" s="9" t="s">
        <v>95</v>
      </c>
      <c r="E62" s="9">
        <v>20.0</v>
      </c>
      <c r="F62" s="9">
        <v>30.0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8">
        <v>4120.0</v>
      </c>
      <c r="B63" s="9" t="s">
        <v>72</v>
      </c>
      <c r="C63" s="9" t="s">
        <v>94</v>
      </c>
      <c r="D63" s="9" t="s">
        <v>75</v>
      </c>
      <c r="E63" s="9">
        <v>20.0</v>
      </c>
      <c r="F63" s="9">
        <v>30.0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8">
        <v>4121.0</v>
      </c>
      <c r="B64" s="9" t="s">
        <v>72</v>
      </c>
      <c r="C64" s="9" t="s">
        <v>96</v>
      </c>
      <c r="D64" s="9" t="s">
        <v>75</v>
      </c>
      <c r="E64" s="9">
        <v>30.0</v>
      </c>
      <c r="F64" s="9">
        <v>45.0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8">
        <v>4121.0</v>
      </c>
      <c r="B65" s="9" t="s">
        <v>72</v>
      </c>
      <c r="C65" s="9" t="s">
        <v>96</v>
      </c>
      <c r="D65" s="9" t="s">
        <v>97</v>
      </c>
      <c r="E65" s="9">
        <v>10.0</v>
      </c>
      <c r="F65" s="9">
        <v>15.0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8">
        <v>4122.0</v>
      </c>
      <c r="B66" s="9" t="s">
        <v>72</v>
      </c>
      <c r="C66" s="9" t="s">
        <v>98</v>
      </c>
      <c r="D66" s="9" t="s">
        <v>75</v>
      </c>
      <c r="E66" s="9">
        <v>16.0</v>
      </c>
      <c r="F66" s="9">
        <v>24.0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8">
        <v>4122.0</v>
      </c>
      <c r="B67" s="9" t="s">
        <v>72</v>
      </c>
      <c r="C67" s="9" t="s">
        <v>98</v>
      </c>
      <c r="D67" s="9" t="s">
        <v>85</v>
      </c>
      <c r="E67" s="9">
        <v>12.0</v>
      </c>
      <c r="F67" s="9">
        <v>18.0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8">
        <v>4122.0</v>
      </c>
      <c r="B68" s="9" t="s">
        <v>72</v>
      </c>
      <c r="C68" s="9" t="s">
        <v>98</v>
      </c>
      <c r="D68" s="9" t="s">
        <v>99</v>
      </c>
      <c r="E68" s="9">
        <v>12.0</v>
      </c>
      <c r="F68" s="9">
        <v>18.0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8">
        <v>4122.0</v>
      </c>
      <c r="B69" s="9" t="s">
        <v>72</v>
      </c>
      <c r="C69" s="9" t="s">
        <v>98</v>
      </c>
      <c r="D69" s="9" t="s">
        <v>100</v>
      </c>
      <c r="E69" s="9">
        <v>3.0</v>
      </c>
      <c r="F69" s="9">
        <v>4.5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8">
        <v>4123.0</v>
      </c>
      <c r="B70" s="9" t="s">
        <v>72</v>
      </c>
      <c r="C70" s="9" t="s">
        <v>101</v>
      </c>
      <c r="D70" s="9" t="s">
        <v>79</v>
      </c>
      <c r="E70" s="9">
        <v>50.0</v>
      </c>
      <c r="F70" s="9">
        <v>50.0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8">
        <v>4124.0</v>
      </c>
      <c r="B71" s="9" t="s">
        <v>72</v>
      </c>
      <c r="C71" s="9" t="s">
        <v>102</v>
      </c>
      <c r="D71" s="9" t="s">
        <v>103</v>
      </c>
      <c r="E71" s="9">
        <v>20.0</v>
      </c>
      <c r="F71" s="9">
        <v>20.0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8">
        <v>4124.0</v>
      </c>
      <c r="B72" s="9" t="s">
        <v>72</v>
      </c>
      <c r="C72" s="9" t="s">
        <v>102</v>
      </c>
      <c r="D72" s="9" t="s">
        <v>75</v>
      </c>
      <c r="E72" s="9">
        <v>20.0</v>
      </c>
      <c r="F72" s="9">
        <v>20.0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8">
        <v>5111.0</v>
      </c>
      <c r="B73" s="9" t="s">
        <v>104</v>
      </c>
      <c r="C73" s="9" t="s">
        <v>105</v>
      </c>
      <c r="D73" s="10"/>
      <c r="E73" s="10"/>
      <c r="F73" s="10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8">
        <v>5112.0</v>
      </c>
      <c r="B74" s="9" t="s">
        <v>104</v>
      </c>
      <c r="C74" s="9" t="s">
        <v>106</v>
      </c>
      <c r="D74" s="10"/>
      <c r="E74" s="10"/>
      <c r="F74" s="10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8">
        <v>5113.0</v>
      </c>
      <c r="B75" s="9" t="s">
        <v>104</v>
      </c>
      <c r="C75" s="9" t="s">
        <v>107</v>
      </c>
      <c r="D75" s="10"/>
      <c r="E75" s="10"/>
      <c r="F75" s="10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8">
        <v>5114.0</v>
      </c>
      <c r="B76" s="9" t="s">
        <v>104</v>
      </c>
      <c r="C76" s="9" t="s">
        <v>108</v>
      </c>
      <c r="D76" s="10"/>
      <c r="E76" s="10"/>
      <c r="F76" s="10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8">
        <v>5115.0</v>
      </c>
      <c r="B77" s="9" t="s">
        <v>104</v>
      </c>
      <c r="C77" s="9" t="s">
        <v>109</v>
      </c>
      <c r="D77" s="10"/>
      <c r="E77" s="10"/>
      <c r="F77" s="10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8">
        <v>5116.0</v>
      </c>
      <c r="B78" s="9" t="s">
        <v>104</v>
      </c>
      <c r="C78" s="9" t="s">
        <v>110</v>
      </c>
      <c r="D78" s="10"/>
      <c r="E78" s="10"/>
      <c r="F78" s="10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8">
        <v>5117.0</v>
      </c>
      <c r="B79" s="9" t="s">
        <v>104</v>
      </c>
      <c r="C79" s="9" t="s">
        <v>111</v>
      </c>
      <c r="D79" s="10"/>
      <c r="E79" s="10"/>
      <c r="F79" s="10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8">
        <v>5118.0</v>
      </c>
      <c r="B80" s="9" t="s">
        <v>104</v>
      </c>
      <c r="C80" s="9" t="s">
        <v>112</v>
      </c>
      <c r="D80" s="10"/>
      <c r="E80" s="10"/>
      <c r="F80" s="10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8">
        <v>5119.0</v>
      </c>
      <c r="B81" s="9" t="s">
        <v>104</v>
      </c>
      <c r="C81" s="9" t="s">
        <v>113</v>
      </c>
      <c r="D81" s="10"/>
      <c r="E81" s="10"/>
      <c r="F81" s="10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8">
        <v>5120.0</v>
      </c>
      <c r="B82" s="9" t="s">
        <v>104</v>
      </c>
      <c r="C82" s="9" t="s">
        <v>114</v>
      </c>
      <c r="D82" s="10"/>
      <c r="E82" s="10"/>
      <c r="F82" s="10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8">
        <v>5121.0</v>
      </c>
      <c r="B83" s="9" t="s">
        <v>104</v>
      </c>
      <c r="C83" s="9" t="s">
        <v>115</v>
      </c>
      <c r="D83" s="10"/>
      <c r="E83" s="10"/>
      <c r="F83" s="10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8">
        <v>5122.0</v>
      </c>
      <c r="B84" s="9" t="s">
        <v>104</v>
      </c>
      <c r="C84" s="9" t="s">
        <v>116</v>
      </c>
      <c r="D84" s="10"/>
      <c r="E84" s="10"/>
      <c r="F84" s="10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11"/>
      <c r="B85" s="12"/>
      <c r="C85" s="12"/>
      <c r="D85" s="12"/>
      <c r="E85" s="12"/>
      <c r="F85" s="12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11"/>
      <c r="B86" s="12"/>
      <c r="C86" s="12"/>
      <c r="D86" s="12"/>
      <c r="E86" s="12"/>
      <c r="F86" s="12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11"/>
      <c r="B87" s="12"/>
      <c r="C87" s="12"/>
      <c r="D87" s="12"/>
      <c r="E87" s="12"/>
      <c r="F87" s="12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11"/>
      <c r="B88" s="12"/>
      <c r="C88" s="12"/>
      <c r="D88" s="12"/>
      <c r="E88" s="12"/>
      <c r="F88" s="12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11"/>
      <c r="B89" s="12"/>
      <c r="C89" s="12"/>
      <c r="D89" s="12"/>
      <c r="E89" s="12"/>
      <c r="F89" s="12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11"/>
      <c r="B90" s="12"/>
      <c r="C90" s="12"/>
      <c r="D90" s="12"/>
      <c r="E90" s="12"/>
      <c r="F90" s="12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11"/>
      <c r="B91" s="12"/>
      <c r="C91" s="12"/>
      <c r="D91" s="12"/>
      <c r="E91" s="12"/>
      <c r="F91" s="12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11"/>
      <c r="B92" s="12"/>
      <c r="C92" s="12"/>
      <c r="D92" s="12"/>
      <c r="E92" s="12"/>
      <c r="F92" s="12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11"/>
      <c r="B93" s="12"/>
      <c r="C93" s="12"/>
      <c r="D93" s="12"/>
      <c r="E93" s="12"/>
      <c r="F93" s="12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11"/>
      <c r="B94" s="12"/>
      <c r="C94" s="12"/>
      <c r="D94" s="12"/>
      <c r="E94" s="12"/>
      <c r="F94" s="12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11"/>
      <c r="B95" s="12"/>
      <c r="C95" s="12"/>
      <c r="D95" s="12"/>
      <c r="E95" s="12"/>
      <c r="F95" s="12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11"/>
      <c r="B96" s="12"/>
      <c r="C96" s="12"/>
      <c r="D96" s="12"/>
      <c r="E96" s="12"/>
      <c r="F96" s="12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11"/>
      <c r="B97" s="12"/>
      <c r="C97" s="12"/>
      <c r="D97" s="12"/>
      <c r="E97" s="12"/>
      <c r="F97" s="12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11"/>
      <c r="B98" s="12"/>
      <c r="C98" s="12"/>
      <c r="D98" s="12"/>
      <c r="E98" s="12"/>
      <c r="F98" s="12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11"/>
      <c r="B99" s="12"/>
      <c r="C99" s="12"/>
      <c r="D99" s="12"/>
      <c r="E99" s="12"/>
      <c r="F99" s="12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11"/>
      <c r="B100" s="12"/>
      <c r="C100" s="12"/>
      <c r="D100" s="12"/>
      <c r="E100" s="12"/>
      <c r="F100" s="12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11"/>
      <c r="B101" s="12"/>
      <c r="C101" s="12"/>
      <c r="D101" s="12"/>
      <c r="E101" s="12"/>
      <c r="F101" s="1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11"/>
      <c r="B102" s="12"/>
      <c r="C102" s="12"/>
      <c r="D102" s="12"/>
      <c r="E102" s="12"/>
      <c r="F102" s="12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11"/>
      <c r="B103" s="12"/>
      <c r="C103" s="12"/>
      <c r="D103" s="12"/>
      <c r="E103" s="12"/>
      <c r="F103" s="1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11"/>
      <c r="B104" s="12"/>
      <c r="C104" s="12"/>
      <c r="D104" s="12"/>
      <c r="E104" s="12"/>
      <c r="F104" s="1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11"/>
      <c r="B105" s="12"/>
      <c r="C105" s="12"/>
      <c r="D105" s="12"/>
      <c r="E105" s="12"/>
      <c r="F105" s="1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11"/>
      <c r="B106" s="12"/>
      <c r="C106" s="12"/>
      <c r="D106" s="12"/>
      <c r="E106" s="12"/>
      <c r="F106" s="1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11"/>
      <c r="B107" s="12"/>
      <c r="C107" s="12"/>
      <c r="D107" s="12"/>
      <c r="E107" s="12"/>
      <c r="F107" s="1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11"/>
      <c r="B108" s="12"/>
      <c r="C108" s="12"/>
      <c r="D108" s="12"/>
      <c r="E108" s="12"/>
      <c r="F108" s="1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11"/>
      <c r="B109" s="12"/>
      <c r="C109" s="12"/>
      <c r="D109" s="12"/>
      <c r="E109" s="12"/>
      <c r="F109" s="1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11"/>
      <c r="B110" s="12"/>
      <c r="C110" s="12"/>
      <c r="D110" s="12"/>
      <c r="E110" s="12"/>
      <c r="F110" s="1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11"/>
      <c r="B111" s="12"/>
      <c r="C111" s="12"/>
      <c r="D111" s="12"/>
      <c r="E111" s="12"/>
      <c r="F111" s="12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11"/>
      <c r="B112" s="12"/>
      <c r="C112" s="12"/>
      <c r="D112" s="12"/>
      <c r="E112" s="12"/>
      <c r="F112" s="1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11"/>
      <c r="B113" s="12"/>
      <c r="C113" s="12"/>
      <c r="D113" s="12"/>
      <c r="E113" s="12"/>
      <c r="F113" s="12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11"/>
      <c r="B114" s="12"/>
      <c r="C114" s="12"/>
      <c r="D114" s="12"/>
      <c r="E114" s="12"/>
      <c r="F114" s="12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11"/>
      <c r="B115" s="12"/>
      <c r="C115" s="12"/>
      <c r="D115" s="12"/>
      <c r="E115" s="12"/>
      <c r="F115" s="12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11"/>
      <c r="B116" s="12"/>
      <c r="C116" s="12"/>
      <c r="D116" s="12"/>
      <c r="E116" s="12"/>
      <c r="F116" s="12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11"/>
      <c r="B117" s="12"/>
      <c r="C117" s="12"/>
      <c r="D117" s="12"/>
      <c r="E117" s="12"/>
      <c r="F117" s="12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11"/>
      <c r="B118" s="12"/>
      <c r="C118" s="12"/>
      <c r="D118" s="12"/>
      <c r="E118" s="12"/>
      <c r="F118" s="1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11"/>
      <c r="B119" s="12"/>
      <c r="C119" s="12"/>
      <c r="D119" s="12"/>
      <c r="E119" s="12"/>
      <c r="F119" s="1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11"/>
      <c r="B120" s="12"/>
      <c r="C120" s="12"/>
      <c r="D120" s="12"/>
      <c r="E120" s="12"/>
      <c r="F120" s="12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11"/>
      <c r="B121" s="12"/>
      <c r="C121" s="12"/>
      <c r="D121" s="12"/>
      <c r="E121" s="12"/>
      <c r="F121" s="12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11"/>
      <c r="B122" s="12"/>
      <c r="C122" s="12"/>
      <c r="D122" s="12"/>
      <c r="E122" s="12"/>
      <c r="F122" s="1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11"/>
      <c r="B123" s="12"/>
      <c r="C123" s="12"/>
      <c r="D123" s="12"/>
      <c r="E123" s="12"/>
      <c r="F123" s="12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11"/>
      <c r="B124" s="12"/>
      <c r="C124" s="12"/>
      <c r="D124" s="12"/>
      <c r="E124" s="12"/>
      <c r="F124" s="12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11"/>
      <c r="B125" s="12"/>
      <c r="C125" s="12"/>
      <c r="D125" s="12"/>
      <c r="E125" s="12"/>
      <c r="F125" s="12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11"/>
      <c r="B126" s="12"/>
      <c r="C126" s="12"/>
      <c r="D126" s="12"/>
      <c r="E126" s="12"/>
      <c r="F126" s="12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11"/>
      <c r="B127" s="12"/>
      <c r="C127" s="12"/>
      <c r="D127" s="12"/>
      <c r="E127" s="12"/>
      <c r="F127" s="12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11"/>
      <c r="B128" s="12"/>
      <c r="C128" s="12"/>
      <c r="D128" s="12"/>
      <c r="E128" s="12"/>
      <c r="F128" s="12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11"/>
      <c r="B129" s="12"/>
      <c r="C129" s="12"/>
      <c r="D129" s="12"/>
      <c r="E129" s="12"/>
      <c r="F129" s="12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11"/>
      <c r="B130" s="12"/>
      <c r="C130" s="12"/>
      <c r="D130" s="12"/>
      <c r="E130" s="12"/>
      <c r="F130" s="12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11"/>
      <c r="B131" s="12"/>
      <c r="C131" s="12"/>
      <c r="D131" s="12"/>
      <c r="E131" s="12"/>
      <c r="F131" s="12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11"/>
      <c r="B132" s="12"/>
      <c r="C132" s="12"/>
      <c r="D132" s="12"/>
      <c r="E132" s="12"/>
      <c r="F132" s="12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11"/>
      <c r="B133" s="12"/>
      <c r="C133" s="12"/>
      <c r="D133" s="12"/>
      <c r="E133" s="12"/>
      <c r="F133" s="1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11"/>
      <c r="B134" s="12"/>
      <c r="C134" s="12"/>
      <c r="D134" s="12"/>
      <c r="E134" s="12"/>
      <c r="F134" s="12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11"/>
      <c r="B135" s="12"/>
      <c r="C135" s="12"/>
      <c r="D135" s="12"/>
      <c r="E135" s="12"/>
      <c r="F135" s="12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11"/>
      <c r="B136" s="12"/>
      <c r="C136" s="12"/>
      <c r="D136" s="12"/>
      <c r="E136" s="12"/>
      <c r="F136" s="12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11"/>
      <c r="B137" s="12"/>
      <c r="C137" s="12"/>
      <c r="D137" s="12"/>
      <c r="E137" s="12"/>
      <c r="F137" s="12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11"/>
      <c r="B138" s="12"/>
      <c r="C138" s="12"/>
      <c r="D138" s="12"/>
      <c r="E138" s="12"/>
      <c r="F138" s="12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11"/>
      <c r="B139" s="12"/>
      <c r="C139" s="12"/>
      <c r="D139" s="12"/>
      <c r="E139" s="12"/>
      <c r="F139" s="12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11"/>
      <c r="B140" s="12"/>
      <c r="C140" s="12"/>
      <c r="D140" s="12"/>
      <c r="E140" s="12"/>
      <c r="F140" s="12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11"/>
      <c r="B141" s="12"/>
      <c r="C141" s="12"/>
      <c r="D141" s="12"/>
      <c r="E141" s="12"/>
      <c r="F141" s="12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11"/>
      <c r="B142" s="12"/>
      <c r="C142" s="12"/>
      <c r="D142" s="12"/>
      <c r="E142" s="12"/>
      <c r="F142" s="12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11"/>
      <c r="B143" s="12"/>
      <c r="C143" s="12"/>
      <c r="D143" s="12"/>
      <c r="E143" s="12"/>
      <c r="F143" s="12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11"/>
      <c r="B144" s="12"/>
      <c r="C144" s="12"/>
      <c r="D144" s="12"/>
      <c r="E144" s="12"/>
      <c r="F144" s="12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11"/>
      <c r="B145" s="12"/>
      <c r="C145" s="12"/>
      <c r="D145" s="12"/>
      <c r="E145" s="12"/>
      <c r="F145" s="1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11"/>
      <c r="B146" s="12"/>
      <c r="C146" s="12"/>
      <c r="D146" s="12"/>
      <c r="E146" s="12"/>
      <c r="F146" s="12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11"/>
      <c r="B147" s="12"/>
      <c r="C147" s="12"/>
      <c r="D147" s="12"/>
      <c r="E147" s="12"/>
      <c r="F147" s="12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11"/>
      <c r="B148" s="12"/>
      <c r="C148" s="12"/>
      <c r="D148" s="12"/>
      <c r="E148" s="12"/>
      <c r="F148" s="12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11"/>
      <c r="B149" s="12"/>
      <c r="C149" s="12"/>
      <c r="D149" s="12"/>
      <c r="E149" s="12"/>
      <c r="F149" s="12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11"/>
      <c r="B150" s="12"/>
      <c r="C150" s="12"/>
      <c r="D150" s="12"/>
      <c r="E150" s="12"/>
      <c r="F150" s="1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11"/>
      <c r="B151" s="12"/>
      <c r="C151" s="12"/>
      <c r="D151" s="12"/>
      <c r="E151" s="12"/>
      <c r="F151" s="1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11"/>
      <c r="B152" s="12"/>
      <c r="C152" s="12"/>
      <c r="D152" s="12"/>
      <c r="E152" s="12"/>
      <c r="F152" s="12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11"/>
      <c r="B153" s="12"/>
      <c r="C153" s="12"/>
      <c r="D153" s="12"/>
      <c r="E153" s="12"/>
      <c r="F153" s="12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11"/>
      <c r="B154" s="12"/>
      <c r="C154" s="12"/>
      <c r="D154" s="12"/>
      <c r="E154" s="12"/>
      <c r="F154" s="12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11"/>
      <c r="B155" s="12"/>
      <c r="C155" s="12"/>
      <c r="D155" s="12"/>
      <c r="E155" s="12"/>
      <c r="F155" s="12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11"/>
      <c r="B156" s="12"/>
      <c r="C156" s="12"/>
      <c r="D156" s="12"/>
      <c r="E156" s="12"/>
      <c r="F156" s="12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11"/>
      <c r="B157" s="12"/>
      <c r="C157" s="12"/>
      <c r="D157" s="12"/>
      <c r="E157" s="12"/>
      <c r="F157" s="12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11"/>
      <c r="B158" s="12"/>
      <c r="C158" s="12"/>
      <c r="D158" s="12"/>
      <c r="E158" s="12"/>
      <c r="F158" s="12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11"/>
      <c r="B159" s="12"/>
      <c r="C159" s="12"/>
      <c r="D159" s="12"/>
      <c r="E159" s="12"/>
      <c r="F159" s="12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11"/>
      <c r="B160" s="12"/>
      <c r="C160" s="12"/>
      <c r="D160" s="12"/>
      <c r="E160" s="12"/>
      <c r="F160" s="12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11"/>
      <c r="B161" s="12"/>
      <c r="C161" s="12"/>
      <c r="D161" s="12"/>
      <c r="E161" s="12"/>
      <c r="F161" s="12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11"/>
      <c r="B162" s="12"/>
      <c r="C162" s="12"/>
      <c r="D162" s="12"/>
      <c r="E162" s="12"/>
      <c r="F162" s="12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11"/>
      <c r="B163" s="12"/>
      <c r="C163" s="12"/>
      <c r="D163" s="12"/>
      <c r="E163" s="12"/>
      <c r="F163" s="12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11"/>
      <c r="B164" s="12"/>
      <c r="C164" s="12"/>
      <c r="D164" s="12"/>
      <c r="E164" s="12"/>
      <c r="F164" s="12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11"/>
      <c r="B165" s="12"/>
      <c r="C165" s="12"/>
      <c r="D165" s="12"/>
      <c r="E165" s="12"/>
      <c r="F165" s="12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11"/>
      <c r="B166" s="12"/>
      <c r="C166" s="12"/>
      <c r="D166" s="12"/>
      <c r="E166" s="12"/>
      <c r="F166" s="12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11"/>
      <c r="B167" s="12"/>
      <c r="C167" s="12"/>
      <c r="D167" s="12"/>
      <c r="E167" s="12"/>
      <c r="F167" s="12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11"/>
      <c r="B168" s="12"/>
      <c r="C168" s="12"/>
      <c r="D168" s="12"/>
      <c r="E168" s="12"/>
      <c r="F168" s="12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11"/>
      <c r="B169" s="12"/>
      <c r="C169" s="12"/>
      <c r="D169" s="12"/>
      <c r="E169" s="12"/>
      <c r="F169" s="12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11"/>
      <c r="B170" s="12"/>
      <c r="C170" s="12"/>
      <c r="D170" s="12"/>
      <c r="E170" s="12"/>
      <c r="F170" s="12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11"/>
      <c r="B171" s="12"/>
      <c r="C171" s="12"/>
      <c r="D171" s="12"/>
      <c r="E171" s="12"/>
      <c r="F171" s="12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11"/>
      <c r="B172" s="12"/>
      <c r="C172" s="12"/>
      <c r="D172" s="12"/>
      <c r="E172" s="12"/>
      <c r="F172" s="12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11"/>
      <c r="B173" s="12"/>
      <c r="C173" s="12"/>
      <c r="D173" s="12"/>
      <c r="E173" s="12"/>
      <c r="F173" s="12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11"/>
      <c r="B174" s="12"/>
      <c r="C174" s="12"/>
      <c r="D174" s="12"/>
      <c r="E174" s="12"/>
      <c r="F174" s="12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11"/>
      <c r="B175" s="12"/>
      <c r="C175" s="12"/>
      <c r="D175" s="12"/>
      <c r="E175" s="12"/>
      <c r="F175" s="12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11"/>
      <c r="B176" s="12"/>
      <c r="C176" s="12"/>
      <c r="D176" s="12"/>
      <c r="E176" s="12"/>
      <c r="F176" s="1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11"/>
      <c r="B177" s="12"/>
      <c r="C177" s="12"/>
      <c r="D177" s="12"/>
      <c r="E177" s="12"/>
      <c r="F177" s="12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11"/>
      <c r="B178" s="12"/>
      <c r="C178" s="12"/>
      <c r="D178" s="12"/>
      <c r="E178" s="12"/>
      <c r="F178" s="12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11"/>
      <c r="B179" s="12"/>
      <c r="C179" s="12"/>
      <c r="D179" s="12"/>
      <c r="E179" s="12"/>
      <c r="F179" s="12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11"/>
      <c r="B180" s="12"/>
      <c r="C180" s="12"/>
      <c r="D180" s="12"/>
      <c r="E180" s="12"/>
      <c r="F180" s="12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11"/>
      <c r="B181" s="12"/>
      <c r="C181" s="12"/>
      <c r="D181" s="12"/>
      <c r="E181" s="12"/>
      <c r="F181" s="12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11"/>
      <c r="B182" s="12"/>
      <c r="C182" s="12"/>
      <c r="D182" s="12"/>
      <c r="E182" s="12"/>
      <c r="F182" s="12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11"/>
      <c r="B183" s="12"/>
      <c r="C183" s="12"/>
      <c r="D183" s="12"/>
      <c r="E183" s="12"/>
      <c r="F183" s="1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11"/>
      <c r="B184" s="12"/>
      <c r="C184" s="12"/>
      <c r="D184" s="12"/>
      <c r="E184" s="12"/>
      <c r="F184" s="12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11"/>
      <c r="B185" s="12"/>
      <c r="C185" s="12"/>
      <c r="D185" s="12"/>
      <c r="E185" s="12"/>
      <c r="F185" s="12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11"/>
      <c r="B186" s="12"/>
      <c r="C186" s="12"/>
      <c r="D186" s="12"/>
      <c r="E186" s="12"/>
      <c r="F186" s="12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11"/>
      <c r="B187" s="12"/>
      <c r="C187" s="12"/>
      <c r="D187" s="12"/>
      <c r="E187" s="12"/>
      <c r="F187" s="12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11"/>
      <c r="B188" s="12"/>
      <c r="C188" s="12"/>
      <c r="D188" s="12"/>
      <c r="E188" s="12"/>
      <c r="F188" s="12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11"/>
      <c r="B189" s="12"/>
      <c r="C189" s="12"/>
      <c r="D189" s="12"/>
      <c r="E189" s="12"/>
      <c r="F189" s="12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11"/>
      <c r="B190" s="12"/>
      <c r="C190" s="12"/>
      <c r="D190" s="12"/>
      <c r="E190" s="12"/>
      <c r="F190" s="12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11"/>
      <c r="B191" s="12"/>
      <c r="C191" s="12"/>
      <c r="D191" s="12"/>
      <c r="E191" s="12"/>
      <c r="F191" s="12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11"/>
      <c r="B192" s="12"/>
      <c r="C192" s="12"/>
      <c r="D192" s="12"/>
      <c r="E192" s="12"/>
      <c r="F192" s="12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11"/>
      <c r="B193" s="12"/>
      <c r="C193" s="12"/>
      <c r="D193" s="12"/>
      <c r="E193" s="12"/>
      <c r="F193" s="12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11"/>
      <c r="B194" s="12"/>
      <c r="C194" s="12"/>
      <c r="D194" s="12"/>
      <c r="E194" s="12"/>
      <c r="F194" s="12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11"/>
      <c r="B195" s="12"/>
      <c r="C195" s="12"/>
      <c r="D195" s="12"/>
      <c r="E195" s="12"/>
      <c r="F195" s="12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11"/>
      <c r="B196" s="12"/>
      <c r="C196" s="12"/>
      <c r="D196" s="12"/>
      <c r="E196" s="12"/>
      <c r="F196" s="12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11"/>
      <c r="B197" s="12"/>
      <c r="C197" s="12"/>
      <c r="D197" s="12"/>
      <c r="E197" s="12"/>
      <c r="F197" s="12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11"/>
      <c r="B198" s="12"/>
      <c r="C198" s="12"/>
      <c r="D198" s="12"/>
      <c r="E198" s="12"/>
      <c r="F198" s="12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11"/>
      <c r="B199" s="12"/>
      <c r="C199" s="12"/>
      <c r="D199" s="12"/>
      <c r="E199" s="12"/>
      <c r="F199" s="12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11"/>
      <c r="B200" s="12"/>
      <c r="C200" s="12"/>
      <c r="D200" s="12"/>
      <c r="E200" s="12"/>
      <c r="F200" s="12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11"/>
      <c r="B201" s="12"/>
      <c r="C201" s="12"/>
      <c r="D201" s="12"/>
      <c r="E201" s="12"/>
      <c r="F201" s="12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11"/>
      <c r="B202" s="12"/>
      <c r="C202" s="12"/>
      <c r="D202" s="12"/>
      <c r="E202" s="12"/>
      <c r="F202" s="12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11"/>
      <c r="B203" s="12"/>
      <c r="C203" s="12"/>
      <c r="D203" s="12"/>
      <c r="E203" s="12"/>
      <c r="F203" s="12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11"/>
      <c r="B204" s="12"/>
      <c r="C204" s="12"/>
      <c r="D204" s="12"/>
      <c r="E204" s="12"/>
      <c r="F204" s="12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11"/>
      <c r="B205" s="12"/>
      <c r="C205" s="12"/>
      <c r="D205" s="12"/>
      <c r="E205" s="12"/>
      <c r="F205" s="12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11"/>
      <c r="B206" s="12"/>
      <c r="C206" s="12"/>
      <c r="D206" s="12"/>
      <c r="E206" s="12"/>
      <c r="F206" s="12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11"/>
      <c r="B207" s="12"/>
      <c r="C207" s="12"/>
      <c r="D207" s="12"/>
      <c r="E207" s="12"/>
      <c r="F207" s="12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11"/>
      <c r="B208" s="12"/>
      <c r="C208" s="12"/>
      <c r="D208" s="12"/>
      <c r="E208" s="12"/>
      <c r="F208" s="12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11"/>
      <c r="B209" s="12"/>
      <c r="C209" s="12"/>
      <c r="D209" s="12"/>
      <c r="E209" s="12"/>
      <c r="F209" s="12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11"/>
      <c r="B210" s="12"/>
      <c r="C210" s="12"/>
      <c r="D210" s="12"/>
      <c r="E210" s="12"/>
      <c r="F210" s="12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11"/>
      <c r="B211" s="12"/>
      <c r="C211" s="12"/>
      <c r="D211" s="12"/>
      <c r="E211" s="12"/>
      <c r="F211" s="12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11"/>
      <c r="B212" s="12"/>
      <c r="C212" s="12"/>
      <c r="D212" s="12"/>
      <c r="E212" s="12"/>
      <c r="F212" s="12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11"/>
      <c r="B213" s="12"/>
      <c r="C213" s="12"/>
      <c r="D213" s="12"/>
      <c r="E213" s="12"/>
      <c r="F213" s="12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11"/>
      <c r="B214" s="12"/>
      <c r="C214" s="12"/>
      <c r="D214" s="12"/>
      <c r="E214" s="12"/>
      <c r="F214" s="12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11"/>
      <c r="B215" s="12"/>
      <c r="C215" s="12"/>
      <c r="D215" s="12"/>
      <c r="E215" s="12"/>
      <c r="F215" s="12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11"/>
      <c r="B216" s="12"/>
      <c r="C216" s="12"/>
      <c r="D216" s="12"/>
      <c r="E216" s="12"/>
      <c r="F216" s="12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11"/>
      <c r="B217" s="12"/>
      <c r="C217" s="12"/>
      <c r="D217" s="12"/>
      <c r="E217" s="12"/>
      <c r="F217" s="12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11"/>
      <c r="B218" s="12"/>
      <c r="C218" s="12"/>
      <c r="D218" s="12"/>
      <c r="E218" s="12"/>
      <c r="F218" s="12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11"/>
      <c r="B219" s="12"/>
      <c r="C219" s="12"/>
      <c r="D219" s="12"/>
      <c r="E219" s="12"/>
      <c r="F219" s="12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11"/>
      <c r="B220" s="12"/>
      <c r="C220" s="12"/>
      <c r="D220" s="12"/>
      <c r="E220" s="12"/>
      <c r="F220" s="12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11"/>
      <c r="B221" s="12"/>
      <c r="C221" s="12"/>
      <c r="D221" s="12"/>
      <c r="E221" s="12"/>
      <c r="F221" s="12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11"/>
      <c r="B222" s="12"/>
      <c r="C222" s="12"/>
      <c r="D222" s="12"/>
      <c r="E222" s="12"/>
      <c r="F222" s="12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11"/>
      <c r="B223" s="12"/>
      <c r="C223" s="12"/>
      <c r="D223" s="12"/>
      <c r="E223" s="12"/>
      <c r="F223" s="12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11"/>
      <c r="B224" s="12"/>
      <c r="C224" s="12"/>
      <c r="D224" s="12"/>
      <c r="E224" s="12"/>
      <c r="F224" s="12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11"/>
      <c r="B225" s="12"/>
      <c r="C225" s="12"/>
      <c r="D225" s="12"/>
      <c r="E225" s="12"/>
      <c r="F225" s="12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11"/>
      <c r="B226" s="12"/>
      <c r="C226" s="12"/>
      <c r="D226" s="12"/>
      <c r="E226" s="12"/>
      <c r="F226" s="12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11"/>
      <c r="B227" s="12"/>
      <c r="C227" s="12"/>
      <c r="D227" s="12"/>
      <c r="E227" s="12"/>
      <c r="F227" s="12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11"/>
      <c r="B228" s="12"/>
      <c r="C228" s="12"/>
      <c r="D228" s="12"/>
      <c r="E228" s="12"/>
      <c r="F228" s="12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11"/>
      <c r="B229" s="12"/>
      <c r="C229" s="12"/>
      <c r="D229" s="12"/>
      <c r="E229" s="12"/>
      <c r="F229" s="12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11"/>
      <c r="B230" s="12"/>
      <c r="C230" s="12"/>
      <c r="D230" s="12"/>
      <c r="E230" s="12"/>
      <c r="F230" s="12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11"/>
      <c r="B231" s="12"/>
      <c r="C231" s="12"/>
      <c r="D231" s="12"/>
      <c r="E231" s="12"/>
      <c r="F231" s="12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11"/>
      <c r="B232" s="12"/>
      <c r="C232" s="12"/>
      <c r="D232" s="12"/>
      <c r="E232" s="12"/>
      <c r="F232" s="12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11"/>
      <c r="B233" s="12"/>
      <c r="C233" s="12"/>
      <c r="D233" s="12"/>
      <c r="E233" s="12"/>
      <c r="F233" s="12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11"/>
      <c r="B234" s="12"/>
      <c r="C234" s="12"/>
      <c r="D234" s="12"/>
      <c r="E234" s="12"/>
      <c r="F234" s="12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11"/>
      <c r="B235" s="12"/>
      <c r="C235" s="12"/>
      <c r="D235" s="12"/>
      <c r="E235" s="12"/>
      <c r="F235" s="12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11"/>
      <c r="B236" s="12"/>
      <c r="C236" s="12"/>
      <c r="D236" s="12"/>
      <c r="E236" s="12"/>
      <c r="F236" s="12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11"/>
      <c r="B237" s="12"/>
      <c r="C237" s="12"/>
      <c r="D237" s="12"/>
      <c r="E237" s="12"/>
      <c r="F237" s="12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11"/>
      <c r="B238" s="12"/>
      <c r="C238" s="12"/>
      <c r="D238" s="12"/>
      <c r="E238" s="12"/>
      <c r="F238" s="12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11"/>
      <c r="B239" s="12"/>
      <c r="C239" s="12"/>
      <c r="D239" s="12"/>
      <c r="E239" s="12"/>
      <c r="F239" s="12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11"/>
      <c r="B240" s="12"/>
      <c r="C240" s="12"/>
      <c r="D240" s="12"/>
      <c r="E240" s="12"/>
      <c r="F240" s="12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11"/>
      <c r="B241" s="12"/>
      <c r="C241" s="12"/>
      <c r="D241" s="12"/>
      <c r="E241" s="12"/>
      <c r="F241" s="12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11"/>
      <c r="B242" s="12"/>
      <c r="C242" s="12"/>
      <c r="D242" s="12"/>
      <c r="E242" s="12"/>
      <c r="F242" s="12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11"/>
      <c r="B243" s="12"/>
      <c r="C243" s="12"/>
      <c r="D243" s="12"/>
      <c r="E243" s="12"/>
      <c r="F243" s="12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11"/>
      <c r="B244" s="12"/>
      <c r="C244" s="12"/>
      <c r="D244" s="12"/>
      <c r="E244" s="12"/>
      <c r="F244" s="12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11"/>
      <c r="B245" s="12"/>
      <c r="C245" s="12"/>
      <c r="D245" s="12"/>
      <c r="E245" s="12"/>
      <c r="F245" s="12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11"/>
      <c r="B246" s="12"/>
      <c r="C246" s="12"/>
      <c r="D246" s="12"/>
      <c r="E246" s="12"/>
      <c r="F246" s="12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11"/>
      <c r="B247" s="12"/>
      <c r="C247" s="12"/>
      <c r="D247" s="12"/>
      <c r="E247" s="12"/>
      <c r="F247" s="12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11"/>
      <c r="B248" s="12"/>
      <c r="C248" s="12"/>
      <c r="D248" s="12"/>
      <c r="E248" s="12"/>
      <c r="F248" s="12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11"/>
      <c r="B249" s="12"/>
      <c r="C249" s="12"/>
      <c r="D249" s="12"/>
      <c r="E249" s="12"/>
      <c r="F249" s="12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11"/>
      <c r="B250" s="12"/>
      <c r="C250" s="12"/>
      <c r="D250" s="12"/>
      <c r="E250" s="12"/>
      <c r="F250" s="12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11"/>
      <c r="B251" s="12"/>
      <c r="C251" s="12"/>
      <c r="D251" s="12"/>
      <c r="E251" s="12"/>
      <c r="F251" s="12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11"/>
      <c r="B252" s="12"/>
      <c r="C252" s="12"/>
      <c r="D252" s="12"/>
      <c r="E252" s="12"/>
      <c r="F252" s="12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11"/>
      <c r="B253" s="12"/>
      <c r="C253" s="12"/>
      <c r="D253" s="12"/>
      <c r="E253" s="12"/>
      <c r="F253" s="12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11"/>
      <c r="B254" s="12"/>
      <c r="C254" s="12"/>
      <c r="D254" s="12"/>
      <c r="E254" s="12"/>
      <c r="F254" s="12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11"/>
      <c r="B255" s="12"/>
      <c r="C255" s="12"/>
      <c r="D255" s="12"/>
      <c r="E255" s="12"/>
      <c r="F255" s="12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11"/>
      <c r="B256" s="12"/>
      <c r="C256" s="12"/>
      <c r="D256" s="12"/>
      <c r="E256" s="12"/>
      <c r="F256" s="12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11"/>
      <c r="B257" s="12"/>
      <c r="C257" s="12"/>
      <c r="D257" s="12"/>
      <c r="E257" s="12"/>
      <c r="F257" s="12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11"/>
      <c r="B258" s="12"/>
      <c r="C258" s="12"/>
      <c r="D258" s="12"/>
      <c r="E258" s="12"/>
      <c r="F258" s="12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11"/>
      <c r="B259" s="12"/>
      <c r="C259" s="12"/>
      <c r="D259" s="12"/>
      <c r="E259" s="12"/>
      <c r="F259" s="12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11"/>
      <c r="B260" s="12"/>
      <c r="C260" s="12"/>
      <c r="D260" s="12"/>
      <c r="E260" s="12"/>
      <c r="F260" s="12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11"/>
      <c r="B261" s="12"/>
      <c r="C261" s="12"/>
      <c r="D261" s="12"/>
      <c r="E261" s="12"/>
      <c r="F261" s="12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11"/>
      <c r="B262" s="12"/>
      <c r="C262" s="12"/>
      <c r="D262" s="12"/>
      <c r="E262" s="12"/>
      <c r="F262" s="12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11"/>
      <c r="B263" s="12"/>
      <c r="C263" s="12"/>
      <c r="D263" s="12"/>
      <c r="E263" s="12"/>
      <c r="F263" s="12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11"/>
      <c r="B264" s="12"/>
      <c r="C264" s="12"/>
      <c r="D264" s="12"/>
      <c r="E264" s="12"/>
      <c r="F264" s="12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11"/>
      <c r="B265" s="12"/>
      <c r="C265" s="12"/>
      <c r="D265" s="12"/>
      <c r="E265" s="12"/>
      <c r="F265" s="12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11"/>
      <c r="B266" s="12"/>
      <c r="C266" s="12"/>
      <c r="D266" s="12"/>
      <c r="E266" s="12"/>
      <c r="F266" s="12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11"/>
      <c r="B267" s="12"/>
      <c r="C267" s="12"/>
      <c r="D267" s="12"/>
      <c r="E267" s="12"/>
      <c r="F267" s="12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11"/>
      <c r="B268" s="12"/>
      <c r="C268" s="12"/>
      <c r="D268" s="12"/>
      <c r="E268" s="12"/>
      <c r="F268" s="12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11"/>
      <c r="B269" s="12"/>
      <c r="C269" s="12"/>
      <c r="D269" s="12"/>
      <c r="E269" s="12"/>
      <c r="F269" s="12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11"/>
      <c r="B270" s="12"/>
      <c r="C270" s="12"/>
      <c r="D270" s="12"/>
      <c r="E270" s="12"/>
      <c r="F270" s="12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11"/>
      <c r="B271" s="12"/>
      <c r="C271" s="12"/>
      <c r="D271" s="12"/>
      <c r="E271" s="12"/>
      <c r="F271" s="12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11"/>
      <c r="B272" s="12"/>
      <c r="C272" s="12"/>
      <c r="D272" s="12"/>
      <c r="E272" s="12"/>
      <c r="F272" s="12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11"/>
      <c r="B273" s="12"/>
      <c r="C273" s="12"/>
      <c r="D273" s="12"/>
      <c r="E273" s="12"/>
      <c r="F273" s="12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11"/>
      <c r="B274" s="12"/>
      <c r="C274" s="12"/>
      <c r="D274" s="12"/>
      <c r="E274" s="12"/>
      <c r="F274" s="12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11"/>
      <c r="B275" s="12"/>
      <c r="C275" s="12"/>
      <c r="D275" s="12"/>
      <c r="E275" s="12"/>
      <c r="F275" s="12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11"/>
      <c r="B276" s="12"/>
      <c r="C276" s="12"/>
      <c r="D276" s="12"/>
      <c r="E276" s="12"/>
      <c r="F276" s="12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11"/>
      <c r="B277" s="12"/>
      <c r="C277" s="12"/>
      <c r="D277" s="12"/>
      <c r="E277" s="12"/>
      <c r="F277" s="12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11"/>
      <c r="B278" s="12"/>
      <c r="C278" s="12"/>
      <c r="D278" s="12"/>
      <c r="E278" s="12"/>
      <c r="F278" s="12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11"/>
      <c r="B279" s="12"/>
      <c r="C279" s="12"/>
      <c r="D279" s="12"/>
      <c r="E279" s="12"/>
      <c r="F279" s="12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11"/>
      <c r="B280" s="12"/>
      <c r="C280" s="12"/>
      <c r="D280" s="12"/>
      <c r="E280" s="12"/>
      <c r="F280" s="12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11"/>
      <c r="B281" s="12"/>
      <c r="C281" s="12"/>
      <c r="D281" s="12"/>
      <c r="E281" s="12"/>
      <c r="F281" s="12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11"/>
      <c r="B282" s="12"/>
      <c r="C282" s="12"/>
      <c r="D282" s="12"/>
      <c r="E282" s="12"/>
      <c r="F282" s="12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11"/>
      <c r="B283" s="12"/>
      <c r="C283" s="12"/>
      <c r="D283" s="12"/>
      <c r="E283" s="12"/>
      <c r="F283" s="12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11"/>
      <c r="B284" s="12"/>
      <c r="C284" s="12"/>
      <c r="D284" s="12"/>
      <c r="E284" s="12"/>
      <c r="F284" s="12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11"/>
      <c r="B285" s="12"/>
      <c r="C285" s="12"/>
      <c r="D285" s="12"/>
      <c r="E285" s="12"/>
      <c r="F285" s="12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11"/>
      <c r="B286" s="12"/>
      <c r="C286" s="12"/>
      <c r="D286" s="12"/>
      <c r="E286" s="12"/>
      <c r="F286" s="12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11"/>
      <c r="B287" s="12"/>
      <c r="C287" s="12"/>
      <c r="D287" s="12"/>
      <c r="E287" s="12"/>
      <c r="F287" s="12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11"/>
      <c r="B288" s="12"/>
      <c r="C288" s="12"/>
      <c r="D288" s="12"/>
      <c r="E288" s="12"/>
      <c r="F288" s="12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11"/>
      <c r="B289" s="12"/>
      <c r="C289" s="12"/>
      <c r="D289" s="12"/>
      <c r="E289" s="12"/>
      <c r="F289" s="1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11"/>
      <c r="B290" s="12"/>
      <c r="C290" s="12"/>
      <c r="D290" s="12"/>
      <c r="E290" s="12"/>
      <c r="F290" s="12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11"/>
      <c r="B291" s="12"/>
      <c r="C291" s="12"/>
      <c r="D291" s="12"/>
      <c r="E291" s="12"/>
      <c r="F291" s="12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11"/>
      <c r="B292" s="12"/>
      <c r="C292" s="12"/>
      <c r="D292" s="12"/>
      <c r="E292" s="12"/>
      <c r="F292" s="12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11"/>
      <c r="B293" s="12"/>
      <c r="C293" s="12"/>
      <c r="D293" s="12"/>
      <c r="E293" s="12"/>
      <c r="F293" s="12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11"/>
      <c r="B294" s="12"/>
      <c r="C294" s="12"/>
      <c r="D294" s="12"/>
      <c r="E294" s="12"/>
      <c r="F294" s="12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11"/>
      <c r="B295" s="12"/>
      <c r="C295" s="12"/>
      <c r="D295" s="12"/>
      <c r="E295" s="12"/>
      <c r="F295" s="12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11"/>
      <c r="B296" s="12"/>
      <c r="C296" s="12"/>
      <c r="D296" s="12"/>
      <c r="E296" s="12"/>
      <c r="F296" s="12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11"/>
      <c r="B297" s="12"/>
      <c r="C297" s="12"/>
      <c r="D297" s="12"/>
      <c r="E297" s="12"/>
      <c r="F297" s="12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11"/>
      <c r="B298" s="12"/>
      <c r="C298" s="12"/>
      <c r="D298" s="12"/>
      <c r="E298" s="12"/>
      <c r="F298" s="12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11"/>
      <c r="B299" s="12"/>
      <c r="C299" s="12"/>
      <c r="D299" s="12"/>
      <c r="E299" s="12"/>
      <c r="F299" s="12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11"/>
      <c r="B300" s="12"/>
      <c r="C300" s="12"/>
      <c r="D300" s="12"/>
      <c r="E300" s="12"/>
      <c r="F300" s="12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11"/>
      <c r="B301" s="12"/>
      <c r="C301" s="12"/>
      <c r="D301" s="12"/>
      <c r="E301" s="12"/>
      <c r="F301" s="12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11"/>
      <c r="B302" s="12"/>
      <c r="C302" s="12"/>
      <c r="D302" s="12"/>
      <c r="E302" s="12"/>
      <c r="F302" s="12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11"/>
      <c r="B303" s="12"/>
      <c r="C303" s="12"/>
      <c r="D303" s="12"/>
      <c r="E303" s="12"/>
      <c r="F303" s="12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11"/>
      <c r="B304" s="12"/>
      <c r="C304" s="12"/>
      <c r="D304" s="12"/>
      <c r="E304" s="12"/>
      <c r="F304" s="12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11"/>
      <c r="B305" s="12"/>
      <c r="C305" s="12"/>
      <c r="D305" s="12"/>
      <c r="E305" s="12"/>
      <c r="F305" s="12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11"/>
      <c r="B306" s="12"/>
      <c r="C306" s="12"/>
      <c r="D306" s="12"/>
      <c r="E306" s="12"/>
      <c r="F306" s="12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11"/>
      <c r="B307" s="12"/>
      <c r="C307" s="12"/>
      <c r="D307" s="12"/>
      <c r="E307" s="12"/>
      <c r="F307" s="12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11"/>
      <c r="B308" s="12"/>
      <c r="C308" s="12"/>
      <c r="D308" s="12"/>
      <c r="E308" s="12"/>
      <c r="F308" s="12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11"/>
      <c r="B309" s="12"/>
      <c r="C309" s="12"/>
      <c r="D309" s="12"/>
      <c r="E309" s="12"/>
      <c r="F309" s="12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11"/>
      <c r="B310" s="12"/>
      <c r="C310" s="12"/>
      <c r="D310" s="12"/>
      <c r="E310" s="12"/>
      <c r="F310" s="12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11"/>
      <c r="B311" s="12"/>
      <c r="C311" s="12"/>
      <c r="D311" s="12"/>
      <c r="E311" s="12"/>
      <c r="F311" s="12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11"/>
      <c r="B312" s="12"/>
      <c r="C312" s="12"/>
      <c r="D312" s="12"/>
      <c r="E312" s="12"/>
      <c r="F312" s="12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11"/>
      <c r="B313" s="12"/>
      <c r="C313" s="12"/>
      <c r="D313" s="12"/>
      <c r="E313" s="12"/>
      <c r="F313" s="12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11"/>
      <c r="B314" s="12"/>
      <c r="C314" s="12"/>
      <c r="D314" s="12"/>
      <c r="E314" s="12"/>
      <c r="F314" s="12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11"/>
      <c r="B315" s="12"/>
      <c r="C315" s="12"/>
      <c r="D315" s="12"/>
      <c r="E315" s="12"/>
      <c r="F315" s="12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11"/>
      <c r="B316" s="12"/>
      <c r="C316" s="12"/>
      <c r="D316" s="12"/>
      <c r="E316" s="12"/>
      <c r="F316" s="12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11"/>
      <c r="B317" s="12"/>
      <c r="C317" s="12"/>
      <c r="D317" s="12"/>
      <c r="E317" s="12"/>
      <c r="F317" s="12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11"/>
      <c r="B318" s="12"/>
      <c r="C318" s="12"/>
      <c r="D318" s="12"/>
      <c r="E318" s="12"/>
      <c r="F318" s="12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11"/>
      <c r="B319" s="12"/>
      <c r="C319" s="12"/>
      <c r="D319" s="12"/>
      <c r="E319" s="12"/>
      <c r="F319" s="12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11"/>
      <c r="B320" s="12"/>
      <c r="C320" s="12"/>
      <c r="D320" s="12"/>
      <c r="E320" s="12"/>
      <c r="F320" s="12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11"/>
      <c r="B321" s="12"/>
      <c r="C321" s="12"/>
      <c r="D321" s="12"/>
      <c r="E321" s="12"/>
      <c r="F321" s="12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11"/>
      <c r="B322" s="12"/>
      <c r="C322" s="12"/>
      <c r="D322" s="12"/>
      <c r="E322" s="12"/>
      <c r="F322" s="12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11"/>
      <c r="B323" s="12"/>
      <c r="C323" s="12"/>
      <c r="D323" s="12"/>
      <c r="E323" s="12"/>
      <c r="F323" s="12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11"/>
      <c r="B324" s="12"/>
      <c r="C324" s="12"/>
      <c r="D324" s="12"/>
      <c r="E324" s="12"/>
      <c r="F324" s="12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11"/>
      <c r="B325" s="12"/>
      <c r="C325" s="12"/>
      <c r="D325" s="12"/>
      <c r="E325" s="12"/>
      <c r="F325" s="12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11"/>
      <c r="B326" s="12"/>
      <c r="C326" s="12"/>
      <c r="D326" s="12"/>
      <c r="E326" s="12"/>
      <c r="F326" s="1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11"/>
      <c r="B327" s="12"/>
      <c r="C327" s="12"/>
      <c r="D327" s="12"/>
      <c r="E327" s="12"/>
      <c r="F327" s="12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11"/>
      <c r="B328" s="12"/>
      <c r="C328" s="12"/>
      <c r="D328" s="12"/>
      <c r="E328" s="12"/>
      <c r="F328" s="12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11"/>
      <c r="B329" s="12"/>
      <c r="C329" s="12"/>
      <c r="D329" s="12"/>
      <c r="E329" s="12"/>
      <c r="F329" s="12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11"/>
      <c r="B330" s="12"/>
      <c r="C330" s="12"/>
      <c r="D330" s="12"/>
      <c r="E330" s="12"/>
      <c r="F330" s="12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11"/>
      <c r="B331" s="12"/>
      <c r="C331" s="12"/>
      <c r="D331" s="12"/>
      <c r="E331" s="12"/>
      <c r="F331" s="12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11"/>
      <c r="B332" s="12"/>
      <c r="C332" s="12"/>
      <c r="D332" s="12"/>
      <c r="E332" s="12"/>
      <c r="F332" s="12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11"/>
      <c r="B333" s="12"/>
      <c r="C333" s="12"/>
      <c r="D333" s="12"/>
      <c r="E333" s="12"/>
      <c r="F333" s="12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11"/>
      <c r="B334" s="12"/>
      <c r="C334" s="12"/>
      <c r="D334" s="12"/>
      <c r="E334" s="12"/>
      <c r="F334" s="12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11"/>
      <c r="B335" s="12"/>
      <c r="C335" s="12"/>
      <c r="D335" s="12"/>
      <c r="E335" s="12"/>
      <c r="F335" s="12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11"/>
      <c r="B336" s="12"/>
      <c r="C336" s="12"/>
      <c r="D336" s="12"/>
      <c r="E336" s="12"/>
      <c r="F336" s="12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11"/>
      <c r="B337" s="12"/>
      <c r="C337" s="12"/>
      <c r="D337" s="12"/>
      <c r="E337" s="12"/>
      <c r="F337" s="12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11"/>
      <c r="B338" s="12"/>
      <c r="C338" s="12"/>
      <c r="D338" s="12"/>
      <c r="E338" s="12"/>
      <c r="F338" s="12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11"/>
      <c r="B339" s="12"/>
      <c r="C339" s="12"/>
      <c r="D339" s="12"/>
      <c r="E339" s="12"/>
      <c r="F339" s="12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11"/>
      <c r="B340" s="12"/>
      <c r="C340" s="12"/>
      <c r="D340" s="12"/>
      <c r="E340" s="12"/>
      <c r="F340" s="12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11"/>
      <c r="B341" s="12"/>
      <c r="C341" s="12"/>
      <c r="D341" s="12"/>
      <c r="E341" s="12"/>
      <c r="F341" s="12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11"/>
      <c r="B342" s="12"/>
      <c r="C342" s="12"/>
      <c r="D342" s="12"/>
      <c r="E342" s="12"/>
      <c r="F342" s="12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11"/>
      <c r="B343" s="12"/>
      <c r="C343" s="12"/>
      <c r="D343" s="12"/>
      <c r="E343" s="12"/>
      <c r="F343" s="12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11"/>
      <c r="B344" s="12"/>
      <c r="C344" s="12"/>
      <c r="D344" s="12"/>
      <c r="E344" s="12"/>
      <c r="F344" s="12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11"/>
      <c r="B345" s="12"/>
      <c r="C345" s="12"/>
      <c r="D345" s="12"/>
      <c r="E345" s="12"/>
      <c r="F345" s="12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11"/>
      <c r="B346" s="12"/>
      <c r="C346" s="12"/>
      <c r="D346" s="12"/>
      <c r="E346" s="12"/>
      <c r="F346" s="12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11"/>
      <c r="B347" s="12"/>
      <c r="C347" s="12"/>
      <c r="D347" s="12"/>
      <c r="E347" s="12"/>
      <c r="F347" s="12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11"/>
      <c r="B348" s="12"/>
      <c r="C348" s="12"/>
      <c r="D348" s="12"/>
      <c r="E348" s="12"/>
      <c r="F348" s="12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11"/>
      <c r="B349" s="12"/>
      <c r="C349" s="12"/>
      <c r="D349" s="12"/>
      <c r="E349" s="12"/>
      <c r="F349" s="12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11"/>
      <c r="B350" s="12"/>
      <c r="C350" s="12"/>
      <c r="D350" s="12"/>
      <c r="E350" s="12"/>
      <c r="F350" s="12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11"/>
      <c r="B351" s="12"/>
      <c r="C351" s="12"/>
      <c r="D351" s="12"/>
      <c r="E351" s="12"/>
      <c r="F351" s="12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11"/>
      <c r="B352" s="12"/>
      <c r="C352" s="12"/>
      <c r="D352" s="12"/>
      <c r="E352" s="12"/>
      <c r="F352" s="12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11"/>
      <c r="B353" s="12"/>
      <c r="C353" s="12"/>
      <c r="D353" s="12"/>
      <c r="E353" s="12"/>
      <c r="F353" s="12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11"/>
      <c r="B354" s="12"/>
      <c r="C354" s="12"/>
      <c r="D354" s="12"/>
      <c r="E354" s="12"/>
      <c r="F354" s="12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11"/>
      <c r="B355" s="12"/>
      <c r="C355" s="12"/>
      <c r="D355" s="12"/>
      <c r="E355" s="12"/>
      <c r="F355" s="12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11"/>
      <c r="B356" s="12"/>
      <c r="C356" s="12"/>
      <c r="D356" s="12"/>
      <c r="E356" s="12"/>
      <c r="F356" s="12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11"/>
      <c r="B357" s="12"/>
      <c r="C357" s="12"/>
      <c r="D357" s="12"/>
      <c r="E357" s="12"/>
      <c r="F357" s="12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11"/>
      <c r="B358" s="12"/>
      <c r="C358" s="12"/>
      <c r="D358" s="12"/>
      <c r="E358" s="12"/>
      <c r="F358" s="12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11"/>
      <c r="B359" s="12"/>
      <c r="C359" s="12"/>
      <c r="D359" s="12"/>
      <c r="E359" s="12"/>
      <c r="F359" s="12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11"/>
      <c r="B360" s="12"/>
      <c r="C360" s="12"/>
      <c r="D360" s="12"/>
      <c r="E360" s="12"/>
      <c r="F360" s="12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11"/>
      <c r="B361" s="12"/>
      <c r="C361" s="12"/>
      <c r="D361" s="12"/>
      <c r="E361" s="12"/>
      <c r="F361" s="12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11"/>
      <c r="B362" s="12"/>
      <c r="C362" s="12"/>
      <c r="D362" s="12"/>
      <c r="E362" s="12"/>
      <c r="F362" s="12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11"/>
      <c r="B363" s="12"/>
      <c r="C363" s="12"/>
      <c r="D363" s="12"/>
      <c r="E363" s="12"/>
      <c r="F363" s="12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11"/>
      <c r="B364" s="12"/>
      <c r="C364" s="12"/>
      <c r="D364" s="12"/>
      <c r="E364" s="12"/>
      <c r="F364" s="12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11"/>
      <c r="B365" s="12"/>
      <c r="C365" s="12"/>
      <c r="D365" s="12"/>
      <c r="E365" s="12"/>
      <c r="F365" s="12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11"/>
      <c r="B366" s="12"/>
      <c r="C366" s="12"/>
      <c r="D366" s="12"/>
      <c r="E366" s="12"/>
      <c r="F366" s="12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11"/>
      <c r="B367" s="12"/>
      <c r="C367" s="12"/>
      <c r="D367" s="12"/>
      <c r="E367" s="12"/>
      <c r="F367" s="12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11"/>
      <c r="B368" s="12"/>
      <c r="C368" s="12"/>
      <c r="D368" s="12"/>
      <c r="E368" s="12"/>
      <c r="F368" s="12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11"/>
      <c r="B369" s="12"/>
      <c r="C369" s="12"/>
      <c r="D369" s="12"/>
      <c r="E369" s="12"/>
      <c r="F369" s="12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11"/>
      <c r="B370" s="12"/>
      <c r="C370" s="12"/>
      <c r="D370" s="12"/>
      <c r="E370" s="12"/>
      <c r="F370" s="12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11"/>
      <c r="B371" s="12"/>
      <c r="C371" s="12"/>
      <c r="D371" s="12"/>
      <c r="E371" s="12"/>
      <c r="F371" s="12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11"/>
      <c r="B372" s="12"/>
      <c r="C372" s="12"/>
      <c r="D372" s="12"/>
      <c r="E372" s="12"/>
      <c r="F372" s="12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11"/>
      <c r="B373" s="12"/>
      <c r="C373" s="12"/>
      <c r="D373" s="12"/>
      <c r="E373" s="12"/>
      <c r="F373" s="12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11"/>
      <c r="B374" s="12"/>
      <c r="C374" s="12"/>
      <c r="D374" s="12"/>
      <c r="E374" s="12"/>
      <c r="F374" s="12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11"/>
      <c r="B375" s="12"/>
      <c r="C375" s="12"/>
      <c r="D375" s="12"/>
      <c r="E375" s="12"/>
      <c r="F375" s="12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11"/>
      <c r="B376" s="12"/>
      <c r="C376" s="12"/>
      <c r="D376" s="12"/>
      <c r="E376" s="12"/>
      <c r="F376" s="12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11"/>
      <c r="B377" s="12"/>
      <c r="C377" s="12"/>
      <c r="D377" s="12"/>
      <c r="E377" s="12"/>
      <c r="F377" s="12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11"/>
      <c r="B378" s="12"/>
      <c r="C378" s="12"/>
      <c r="D378" s="12"/>
      <c r="E378" s="12"/>
      <c r="F378" s="12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11"/>
      <c r="B379" s="12"/>
      <c r="C379" s="12"/>
      <c r="D379" s="12"/>
      <c r="E379" s="12"/>
      <c r="F379" s="12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11"/>
      <c r="B380" s="12"/>
      <c r="C380" s="12"/>
      <c r="D380" s="12"/>
      <c r="E380" s="12"/>
      <c r="F380" s="12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11"/>
      <c r="B381" s="12"/>
      <c r="C381" s="12"/>
      <c r="D381" s="12"/>
      <c r="E381" s="12"/>
      <c r="F381" s="12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11"/>
      <c r="B382" s="12"/>
      <c r="C382" s="12"/>
      <c r="D382" s="12"/>
      <c r="E382" s="12"/>
      <c r="F382" s="12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11"/>
      <c r="B383" s="12"/>
      <c r="C383" s="12"/>
      <c r="D383" s="12"/>
      <c r="E383" s="12"/>
      <c r="F383" s="12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11"/>
      <c r="B384" s="12"/>
      <c r="C384" s="12"/>
      <c r="D384" s="12"/>
      <c r="E384" s="12"/>
      <c r="F384" s="12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11"/>
      <c r="B385" s="12"/>
      <c r="C385" s="12"/>
      <c r="D385" s="12"/>
      <c r="E385" s="12"/>
      <c r="F385" s="12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11"/>
      <c r="B386" s="12"/>
      <c r="C386" s="12"/>
      <c r="D386" s="12"/>
      <c r="E386" s="12"/>
      <c r="F386" s="12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11"/>
      <c r="B387" s="12"/>
      <c r="C387" s="12"/>
      <c r="D387" s="12"/>
      <c r="E387" s="12"/>
      <c r="F387" s="12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11"/>
      <c r="B388" s="12"/>
      <c r="C388" s="12"/>
      <c r="D388" s="12"/>
      <c r="E388" s="12"/>
      <c r="F388" s="12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11"/>
      <c r="B389" s="12"/>
      <c r="C389" s="12"/>
      <c r="D389" s="12"/>
      <c r="E389" s="12"/>
      <c r="F389" s="12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11"/>
      <c r="B390" s="12"/>
      <c r="C390" s="12"/>
      <c r="D390" s="12"/>
      <c r="E390" s="12"/>
      <c r="F390" s="12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11"/>
      <c r="B391" s="12"/>
      <c r="C391" s="12"/>
      <c r="D391" s="12"/>
      <c r="E391" s="12"/>
      <c r="F391" s="12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11"/>
      <c r="B392" s="12"/>
      <c r="C392" s="12"/>
      <c r="D392" s="12"/>
      <c r="E392" s="12"/>
      <c r="F392" s="12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11"/>
      <c r="B393" s="12"/>
      <c r="C393" s="12"/>
      <c r="D393" s="12"/>
      <c r="E393" s="12"/>
      <c r="F393" s="12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11"/>
      <c r="B394" s="12"/>
      <c r="C394" s="12"/>
      <c r="D394" s="12"/>
      <c r="E394" s="12"/>
      <c r="F394" s="12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11"/>
      <c r="B395" s="12"/>
      <c r="C395" s="12"/>
      <c r="D395" s="12"/>
      <c r="E395" s="12"/>
      <c r="F395" s="12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11"/>
      <c r="B396" s="12"/>
      <c r="C396" s="12"/>
      <c r="D396" s="12"/>
      <c r="E396" s="12"/>
      <c r="F396" s="12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11"/>
      <c r="B397" s="12"/>
      <c r="C397" s="12"/>
      <c r="D397" s="12"/>
      <c r="E397" s="12"/>
      <c r="F397" s="12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11"/>
      <c r="B398" s="12"/>
      <c r="C398" s="12"/>
      <c r="D398" s="12"/>
      <c r="E398" s="12"/>
      <c r="F398" s="12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11"/>
      <c r="B399" s="12"/>
      <c r="C399" s="12"/>
      <c r="D399" s="12"/>
      <c r="E399" s="12"/>
      <c r="F399" s="12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11"/>
      <c r="B400" s="12"/>
      <c r="C400" s="12"/>
      <c r="D400" s="12"/>
      <c r="E400" s="12"/>
      <c r="F400" s="12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11"/>
      <c r="B401" s="12"/>
      <c r="C401" s="12"/>
      <c r="D401" s="12"/>
      <c r="E401" s="12"/>
      <c r="F401" s="12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11"/>
      <c r="B402" s="12"/>
      <c r="C402" s="12"/>
      <c r="D402" s="12"/>
      <c r="E402" s="12"/>
      <c r="F402" s="12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11"/>
      <c r="B403" s="12"/>
      <c r="C403" s="12"/>
      <c r="D403" s="12"/>
      <c r="E403" s="12"/>
      <c r="F403" s="12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11"/>
      <c r="B404" s="12"/>
      <c r="C404" s="12"/>
      <c r="D404" s="12"/>
      <c r="E404" s="12"/>
      <c r="F404" s="12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11"/>
      <c r="B405" s="12"/>
      <c r="C405" s="12"/>
      <c r="D405" s="12"/>
      <c r="E405" s="12"/>
      <c r="F405" s="12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11"/>
      <c r="B406" s="12"/>
      <c r="C406" s="12"/>
      <c r="D406" s="12"/>
      <c r="E406" s="12"/>
      <c r="F406" s="12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11"/>
      <c r="B407" s="12"/>
      <c r="C407" s="12"/>
      <c r="D407" s="12"/>
      <c r="E407" s="12"/>
      <c r="F407" s="12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11"/>
      <c r="B408" s="12"/>
      <c r="C408" s="12"/>
      <c r="D408" s="12"/>
      <c r="E408" s="12"/>
      <c r="F408" s="12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11"/>
      <c r="B409" s="12"/>
      <c r="C409" s="12"/>
      <c r="D409" s="12"/>
      <c r="E409" s="12"/>
      <c r="F409" s="12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11"/>
      <c r="B410" s="12"/>
      <c r="C410" s="12"/>
      <c r="D410" s="12"/>
      <c r="E410" s="12"/>
      <c r="F410" s="12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11"/>
      <c r="B411" s="12"/>
      <c r="C411" s="12"/>
      <c r="D411" s="12"/>
      <c r="E411" s="12"/>
      <c r="F411" s="12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11"/>
      <c r="B412" s="12"/>
      <c r="C412" s="12"/>
      <c r="D412" s="12"/>
      <c r="E412" s="12"/>
      <c r="F412" s="12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11"/>
      <c r="B413" s="12"/>
      <c r="C413" s="12"/>
      <c r="D413" s="12"/>
      <c r="E413" s="12"/>
      <c r="F413" s="12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11"/>
      <c r="B414" s="12"/>
      <c r="C414" s="12"/>
      <c r="D414" s="12"/>
      <c r="E414" s="12"/>
      <c r="F414" s="12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11"/>
      <c r="B415" s="12"/>
      <c r="C415" s="12"/>
      <c r="D415" s="12"/>
      <c r="E415" s="12"/>
      <c r="F415" s="12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11"/>
      <c r="B416" s="12"/>
      <c r="C416" s="12"/>
      <c r="D416" s="12"/>
      <c r="E416" s="12"/>
      <c r="F416" s="12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11"/>
      <c r="B417" s="12"/>
      <c r="C417" s="12"/>
      <c r="D417" s="12"/>
      <c r="E417" s="12"/>
      <c r="F417" s="12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11"/>
      <c r="B418" s="12"/>
      <c r="C418" s="12"/>
      <c r="D418" s="12"/>
      <c r="E418" s="12"/>
      <c r="F418" s="12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11"/>
      <c r="B419" s="12"/>
      <c r="C419" s="12"/>
      <c r="D419" s="12"/>
      <c r="E419" s="12"/>
      <c r="F419" s="12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11"/>
      <c r="B420" s="12"/>
      <c r="C420" s="12"/>
      <c r="D420" s="12"/>
      <c r="E420" s="12"/>
      <c r="F420" s="12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11"/>
      <c r="B421" s="12"/>
      <c r="C421" s="12"/>
      <c r="D421" s="12"/>
      <c r="E421" s="12"/>
      <c r="F421" s="12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11"/>
      <c r="B422" s="12"/>
      <c r="C422" s="12"/>
      <c r="D422" s="12"/>
      <c r="E422" s="12"/>
      <c r="F422" s="12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11"/>
      <c r="B423" s="12"/>
      <c r="C423" s="12"/>
      <c r="D423" s="12"/>
      <c r="E423" s="12"/>
      <c r="F423" s="12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11"/>
      <c r="B424" s="12"/>
      <c r="C424" s="12"/>
      <c r="D424" s="12"/>
      <c r="E424" s="12"/>
      <c r="F424" s="12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11"/>
      <c r="B425" s="12"/>
      <c r="C425" s="12"/>
      <c r="D425" s="12"/>
      <c r="E425" s="12"/>
      <c r="F425" s="12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11"/>
      <c r="B426" s="12"/>
      <c r="C426" s="12"/>
      <c r="D426" s="12"/>
      <c r="E426" s="12"/>
      <c r="F426" s="12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11"/>
      <c r="B427" s="12"/>
      <c r="C427" s="12"/>
      <c r="D427" s="12"/>
      <c r="E427" s="12"/>
      <c r="F427" s="12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11"/>
      <c r="B428" s="12"/>
      <c r="C428" s="12"/>
      <c r="D428" s="12"/>
      <c r="E428" s="12"/>
      <c r="F428" s="12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11"/>
      <c r="B429" s="12"/>
      <c r="C429" s="12"/>
      <c r="D429" s="12"/>
      <c r="E429" s="12"/>
      <c r="F429" s="12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11"/>
      <c r="B430" s="12"/>
      <c r="C430" s="12"/>
      <c r="D430" s="12"/>
      <c r="E430" s="12"/>
      <c r="F430" s="12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11"/>
      <c r="B431" s="12"/>
      <c r="C431" s="12"/>
      <c r="D431" s="12"/>
      <c r="E431" s="12"/>
      <c r="F431" s="12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11"/>
      <c r="B432" s="12"/>
      <c r="C432" s="12"/>
      <c r="D432" s="12"/>
      <c r="E432" s="12"/>
      <c r="F432" s="12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11"/>
      <c r="B433" s="12"/>
      <c r="C433" s="12"/>
      <c r="D433" s="12"/>
      <c r="E433" s="12"/>
      <c r="F433" s="12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11"/>
      <c r="B434" s="12"/>
      <c r="C434" s="12"/>
      <c r="D434" s="12"/>
      <c r="E434" s="12"/>
      <c r="F434" s="12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11"/>
      <c r="B435" s="12"/>
      <c r="C435" s="12"/>
      <c r="D435" s="12"/>
      <c r="E435" s="12"/>
      <c r="F435" s="12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11"/>
      <c r="B436" s="12"/>
      <c r="C436" s="12"/>
      <c r="D436" s="12"/>
      <c r="E436" s="12"/>
      <c r="F436" s="12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11"/>
      <c r="B437" s="12"/>
      <c r="C437" s="12"/>
      <c r="D437" s="12"/>
      <c r="E437" s="12"/>
      <c r="F437" s="12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11"/>
      <c r="B438" s="12"/>
      <c r="C438" s="12"/>
      <c r="D438" s="12"/>
      <c r="E438" s="12"/>
      <c r="F438" s="12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11"/>
      <c r="B439" s="12"/>
      <c r="C439" s="12"/>
      <c r="D439" s="12"/>
      <c r="E439" s="12"/>
      <c r="F439" s="12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11"/>
      <c r="B440" s="12"/>
      <c r="C440" s="12"/>
      <c r="D440" s="12"/>
      <c r="E440" s="12"/>
      <c r="F440" s="12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11"/>
      <c r="B441" s="12"/>
      <c r="C441" s="12"/>
      <c r="D441" s="12"/>
      <c r="E441" s="12"/>
      <c r="F441" s="12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11"/>
      <c r="B442" s="12"/>
      <c r="C442" s="12"/>
      <c r="D442" s="12"/>
      <c r="E442" s="12"/>
      <c r="F442" s="12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11"/>
      <c r="B443" s="12"/>
      <c r="C443" s="12"/>
      <c r="D443" s="12"/>
      <c r="E443" s="12"/>
      <c r="F443" s="12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11"/>
      <c r="B444" s="12"/>
      <c r="C444" s="12"/>
      <c r="D444" s="12"/>
      <c r="E444" s="12"/>
      <c r="F444" s="12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11"/>
      <c r="B445" s="12"/>
      <c r="C445" s="12"/>
      <c r="D445" s="12"/>
      <c r="E445" s="12"/>
      <c r="F445" s="12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11"/>
      <c r="B446" s="12"/>
      <c r="C446" s="12"/>
      <c r="D446" s="12"/>
      <c r="E446" s="12"/>
      <c r="F446" s="12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11"/>
      <c r="B447" s="12"/>
      <c r="C447" s="12"/>
      <c r="D447" s="12"/>
      <c r="E447" s="12"/>
      <c r="F447" s="12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11"/>
      <c r="B448" s="12"/>
      <c r="C448" s="12"/>
      <c r="D448" s="12"/>
      <c r="E448" s="12"/>
      <c r="F448" s="12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11"/>
      <c r="B449" s="12"/>
      <c r="C449" s="12"/>
      <c r="D449" s="12"/>
      <c r="E449" s="12"/>
      <c r="F449" s="12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11"/>
      <c r="B450" s="12"/>
      <c r="C450" s="12"/>
      <c r="D450" s="12"/>
      <c r="E450" s="12"/>
      <c r="F450" s="12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11"/>
      <c r="B451" s="12"/>
      <c r="C451" s="12"/>
      <c r="D451" s="12"/>
      <c r="E451" s="12"/>
      <c r="F451" s="12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11"/>
      <c r="B452" s="12"/>
      <c r="C452" s="12"/>
      <c r="D452" s="12"/>
      <c r="E452" s="12"/>
      <c r="F452" s="12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11"/>
      <c r="B453" s="12"/>
      <c r="C453" s="12"/>
      <c r="D453" s="12"/>
      <c r="E453" s="12"/>
      <c r="F453" s="12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11"/>
      <c r="B454" s="12"/>
      <c r="C454" s="12"/>
      <c r="D454" s="12"/>
      <c r="E454" s="12"/>
      <c r="F454" s="12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11"/>
      <c r="B455" s="12"/>
      <c r="C455" s="12"/>
      <c r="D455" s="12"/>
      <c r="E455" s="12"/>
      <c r="F455" s="12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11"/>
      <c r="B456" s="12"/>
      <c r="C456" s="12"/>
      <c r="D456" s="12"/>
      <c r="E456" s="12"/>
      <c r="F456" s="12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11"/>
      <c r="B457" s="12"/>
      <c r="C457" s="12"/>
      <c r="D457" s="12"/>
      <c r="E457" s="12"/>
      <c r="F457" s="12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11"/>
      <c r="B458" s="12"/>
      <c r="C458" s="12"/>
      <c r="D458" s="12"/>
      <c r="E458" s="12"/>
      <c r="F458" s="12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11"/>
      <c r="B459" s="12"/>
      <c r="C459" s="12"/>
      <c r="D459" s="12"/>
      <c r="E459" s="12"/>
      <c r="F459" s="12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11"/>
      <c r="B460" s="12"/>
      <c r="C460" s="12"/>
      <c r="D460" s="12"/>
      <c r="E460" s="12"/>
      <c r="F460" s="12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11"/>
      <c r="B461" s="12"/>
      <c r="C461" s="12"/>
      <c r="D461" s="12"/>
      <c r="E461" s="12"/>
      <c r="F461" s="12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11"/>
      <c r="B462" s="12"/>
      <c r="C462" s="12"/>
      <c r="D462" s="12"/>
      <c r="E462" s="12"/>
      <c r="F462" s="12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11"/>
      <c r="B463" s="12"/>
      <c r="C463" s="12"/>
      <c r="D463" s="12"/>
      <c r="E463" s="12"/>
      <c r="F463" s="12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11"/>
      <c r="B464" s="12"/>
      <c r="C464" s="12"/>
      <c r="D464" s="12"/>
      <c r="E464" s="12"/>
      <c r="F464" s="12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11"/>
      <c r="B465" s="12"/>
      <c r="C465" s="12"/>
      <c r="D465" s="12"/>
      <c r="E465" s="12"/>
      <c r="F465" s="12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11"/>
      <c r="B466" s="12"/>
      <c r="C466" s="12"/>
      <c r="D466" s="12"/>
      <c r="E466" s="12"/>
      <c r="F466" s="12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11"/>
      <c r="B467" s="12"/>
      <c r="C467" s="12"/>
      <c r="D467" s="12"/>
      <c r="E467" s="12"/>
      <c r="F467" s="12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11"/>
      <c r="B468" s="12"/>
      <c r="C468" s="12"/>
      <c r="D468" s="12"/>
      <c r="E468" s="12"/>
      <c r="F468" s="12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11"/>
      <c r="B469" s="12"/>
      <c r="C469" s="12"/>
      <c r="D469" s="12"/>
      <c r="E469" s="12"/>
      <c r="F469" s="12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11"/>
      <c r="B470" s="12"/>
      <c r="C470" s="12"/>
      <c r="D470" s="12"/>
      <c r="E470" s="12"/>
      <c r="F470" s="12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11"/>
      <c r="B471" s="12"/>
      <c r="C471" s="12"/>
      <c r="D471" s="12"/>
      <c r="E471" s="12"/>
      <c r="F471" s="12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11"/>
      <c r="B472" s="12"/>
      <c r="C472" s="12"/>
      <c r="D472" s="12"/>
      <c r="E472" s="12"/>
      <c r="F472" s="12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11"/>
      <c r="B473" s="12"/>
      <c r="C473" s="12"/>
      <c r="D473" s="12"/>
      <c r="E473" s="12"/>
      <c r="F473" s="12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11"/>
      <c r="B474" s="12"/>
      <c r="C474" s="12"/>
      <c r="D474" s="12"/>
      <c r="E474" s="12"/>
      <c r="F474" s="12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11"/>
      <c r="B475" s="12"/>
      <c r="C475" s="12"/>
      <c r="D475" s="12"/>
      <c r="E475" s="12"/>
      <c r="F475" s="12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11"/>
      <c r="B476" s="12"/>
      <c r="C476" s="12"/>
      <c r="D476" s="12"/>
      <c r="E476" s="12"/>
      <c r="F476" s="12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11"/>
      <c r="B477" s="12"/>
      <c r="C477" s="12"/>
      <c r="D477" s="12"/>
      <c r="E477" s="12"/>
      <c r="F477" s="12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11"/>
      <c r="B478" s="12"/>
      <c r="C478" s="12"/>
      <c r="D478" s="12"/>
      <c r="E478" s="12"/>
      <c r="F478" s="12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11"/>
      <c r="B479" s="12"/>
      <c r="C479" s="12"/>
      <c r="D479" s="12"/>
      <c r="E479" s="12"/>
      <c r="F479" s="12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11"/>
      <c r="B480" s="12"/>
      <c r="C480" s="12"/>
      <c r="D480" s="12"/>
      <c r="E480" s="12"/>
      <c r="F480" s="12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11"/>
      <c r="B481" s="12"/>
      <c r="C481" s="12"/>
      <c r="D481" s="12"/>
      <c r="E481" s="12"/>
      <c r="F481" s="12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11"/>
      <c r="B482" s="12"/>
      <c r="C482" s="12"/>
      <c r="D482" s="12"/>
      <c r="E482" s="12"/>
      <c r="F482" s="12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11"/>
      <c r="B483" s="12"/>
      <c r="C483" s="12"/>
      <c r="D483" s="12"/>
      <c r="E483" s="12"/>
      <c r="F483" s="12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11"/>
      <c r="B484" s="12"/>
      <c r="C484" s="12"/>
      <c r="D484" s="12"/>
      <c r="E484" s="12"/>
      <c r="F484" s="12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11"/>
      <c r="B485" s="12"/>
      <c r="C485" s="12"/>
      <c r="D485" s="12"/>
      <c r="E485" s="12"/>
      <c r="F485" s="12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11"/>
      <c r="B486" s="12"/>
      <c r="C486" s="12"/>
      <c r="D486" s="12"/>
      <c r="E486" s="12"/>
      <c r="F486" s="12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11"/>
      <c r="B487" s="12"/>
      <c r="C487" s="12"/>
      <c r="D487" s="12"/>
      <c r="E487" s="12"/>
      <c r="F487" s="12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11"/>
      <c r="B488" s="12"/>
      <c r="C488" s="12"/>
      <c r="D488" s="12"/>
      <c r="E488" s="12"/>
      <c r="F488" s="12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11"/>
      <c r="B489" s="12"/>
      <c r="C489" s="12"/>
      <c r="D489" s="12"/>
      <c r="E489" s="12"/>
      <c r="F489" s="12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11"/>
      <c r="B490" s="12"/>
      <c r="C490" s="12"/>
      <c r="D490" s="12"/>
      <c r="E490" s="12"/>
      <c r="F490" s="12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11"/>
      <c r="B491" s="12"/>
      <c r="C491" s="12"/>
      <c r="D491" s="12"/>
      <c r="E491" s="12"/>
      <c r="F491" s="12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11"/>
      <c r="B492" s="12"/>
      <c r="C492" s="12"/>
      <c r="D492" s="12"/>
      <c r="E492" s="12"/>
      <c r="F492" s="12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11"/>
      <c r="B493" s="12"/>
      <c r="C493" s="12"/>
      <c r="D493" s="12"/>
      <c r="E493" s="12"/>
      <c r="F493" s="12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11"/>
      <c r="B494" s="12"/>
      <c r="C494" s="12"/>
      <c r="D494" s="12"/>
      <c r="E494" s="12"/>
      <c r="F494" s="12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11"/>
      <c r="B495" s="12"/>
      <c r="C495" s="12"/>
      <c r="D495" s="12"/>
      <c r="E495" s="12"/>
      <c r="F495" s="12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11"/>
      <c r="B496" s="12"/>
      <c r="C496" s="12"/>
      <c r="D496" s="12"/>
      <c r="E496" s="12"/>
      <c r="F496" s="12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11"/>
      <c r="B497" s="12"/>
      <c r="C497" s="12"/>
      <c r="D497" s="12"/>
      <c r="E497" s="12"/>
      <c r="F497" s="12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11"/>
      <c r="B498" s="12"/>
      <c r="C498" s="12"/>
      <c r="D498" s="12"/>
      <c r="E498" s="12"/>
      <c r="F498" s="12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11"/>
      <c r="B499" s="12"/>
      <c r="C499" s="12"/>
      <c r="D499" s="12"/>
      <c r="E499" s="12"/>
      <c r="F499" s="12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11"/>
      <c r="B500" s="12"/>
      <c r="C500" s="12"/>
      <c r="D500" s="12"/>
      <c r="E500" s="12"/>
      <c r="F500" s="12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11"/>
      <c r="B501" s="12"/>
      <c r="C501" s="12"/>
      <c r="D501" s="12"/>
      <c r="E501" s="12"/>
      <c r="F501" s="12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11"/>
      <c r="B502" s="12"/>
      <c r="C502" s="12"/>
      <c r="D502" s="12"/>
      <c r="E502" s="12"/>
      <c r="F502" s="12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11"/>
      <c r="B503" s="12"/>
      <c r="C503" s="12"/>
      <c r="D503" s="12"/>
      <c r="E503" s="12"/>
      <c r="F503" s="12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11"/>
      <c r="B504" s="12"/>
      <c r="C504" s="12"/>
      <c r="D504" s="12"/>
      <c r="E504" s="12"/>
      <c r="F504" s="12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11"/>
      <c r="B505" s="12"/>
      <c r="C505" s="12"/>
      <c r="D505" s="12"/>
      <c r="E505" s="12"/>
      <c r="F505" s="12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11"/>
      <c r="B506" s="12"/>
      <c r="C506" s="12"/>
      <c r="D506" s="12"/>
      <c r="E506" s="12"/>
      <c r="F506" s="12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11"/>
      <c r="B507" s="12"/>
      <c r="C507" s="12"/>
      <c r="D507" s="12"/>
      <c r="E507" s="12"/>
      <c r="F507" s="12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11"/>
      <c r="B508" s="12"/>
      <c r="C508" s="12"/>
      <c r="D508" s="12"/>
      <c r="E508" s="12"/>
      <c r="F508" s="12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11"/>
      <c r="B509" s="12"/>
      <c r="C509" s="12"/>
      <c r="D509" s="12"/>
      <c r="E509" s="12"/>
      <c r="F509" s="12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11"/>
      <c r="B510" s="12"/>
      <c r="C510" s="12"/>
      <c r="D510" s="12"/>
      <c r="E510" s="12"/>
      <c r="F510" s="12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11"/>
      <c r="B511" s="12"/>
      <c r="C511" s="12"/>
      <c r="D511" s="12"/>
      <c r="E511" s="12"/>
      <c r="F511" s="12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11"/>
      <c r="B512" s="12"/>
      <c r="C512" s="12"/>
      <c r="D512" s="12"/>
      <c r="E512" s="12"/>
      <c r="F512" s="12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11"/>
      <c r="B513" s="12"/>
      <c r="C513" s="12"/>
      <c r="D513" s="12"/>
      <c r="E513" s="12"/>
      <c r="F513" s="12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11"/>
      <c r="B514" s="12"/>
      <c r="C514" s="12"/>
      <c r="D514" s="12"/>
      <c r="E514" s="12"/>
      <c r="F514" s="12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11"/>
      <c r="B515" s="12"/>
      <c r="C515" s="12"/>
      <c r="D515" s="12"/>
      <c r="E515" s="12"/>
      <c r="F515" s="12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11"/>
      <c r="B516" s="12"/>
      <c r="C516" s="12"/>
      <c r="D516" s="12"/>
      <c r="E516" s="12"/>
      <c r="F516" s="12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11"/>
      <c r="B517" s="12"/>
      <c r="C517" s="12"/>
      <c r="D517" s="12"/>
      <c r="E517" s="12"/>
      <c r="F517" s="12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11"/>
      <c r="B518" s="12"/>
      <c r="C518" s="12"/>
      <c r="D518" s="12"/>
      <c r="E518" s="12"/>
      <c r="F518" s="12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11"/>
      <c r="B519" s="12"/>
      <c r="C519" s="12"/>
      <c r="D519" s="12"/>
      <c r="E519" s="12"/>
      <c r="F519" s="12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11"/>
      <c r="B520" s="12"/>
      <c r="C520" s="12"/>
      <c r="D520" s="12"/>
      <c r="E520" s="12"/>
      <c r="F520" s="12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11"/>
      <c r="B521" s="12"/>
      <c r="C521" s="12"/>
      <c r="D521" s="12"/>
      <c r="E521" s="12"/>
      <c r="F521" s="12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11"/>
      <c r="B522" s="12"/>
      <c r="C522" s="12"/>
      <c r="D522" s="12"/>
      <c r="E522" s="12"/>
      <c r="F522" s="12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11"/>
      <c r="B523" s="12"/>
      <c r="C523" s="12"/>
      <c r="D523" s="12"/>
      <c r="E523" s="12"/>
      <c r="F523" s="12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11"/>
      <c r="B524" s="12"/>
      <c r="C524" s="12"/>
      <c r="D524" s="12"/>
      <c r="E524" s="12"/>
      <c r="F524" s="12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11"/>
      <c r="B525" s="12"/>
      <c r="C525" s="12"/>
      <c r="D525" s="12"/>
      <c r="E525" s="12"/>
      <c r="F525" s="12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11"/>
      <c r="B526" s="12"/>
      <c r="C526" s="12"/>
      <c r="D526" s="12"/>
      <c r="E526" s="12"/>
      <c r="F526" s="12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11"/>
      <c r="B527" s="12"/>
      <c r="C527" s="12"/>
      <c r="D527" s="12"/>
      <c r="E527" s="12"/>
      <c r="F527" s="12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11"/>
      <c r="B528" s="12"/>
      <c r="C528" s="12"/>
      <c r="D528" s="12"/>
      <c r="E528" s="12"/>
      <c r="F528" s="12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11"/>
      <c r="B529" s="12"/>
      <c r="C529" s="12"/>
      <c r="D529" s="12"/>
      <c r="E529" s="12"/>
      <c r="F529" s="12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11"/>
      <c r="B530" s="12"/>
      <c r="C530" s="12"/>
      <c r="D530" s="12"/>
      <c r="E530" s="12"/>
      <c r="F530" s="12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11"/>
      <c r="B531" s="12"/>
      <c r="C531" s="12"/>
      <c r="D531" s="12"/>
      <c r="E531" s="12"/>
      <c r="F531" s="12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11"/>
      <c r="B532" s="12"/>
      <c r="C532" s="12"/>
      <c r="D532" s="12"/>
      <c r="E532" s="12"/>
      <c r="F532" s="12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11"/>
      <c r="B533" s="12"/>
      <c r="C533" s="12"/>
      <c r="D533" s="12"/>
      <c r="E533" s="12"/>
      <c r="F533" s="12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11"/>
      <c r="B534" s="12"/>
      <c r="C534" s="12"/>
      <c r="D534" s="12"/>
      <c r="E534" s="12"/>
      <c r="F534" s="12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11"/>
      <c r="B535" s="12"/>
      <c r="C535" s="12"/>
      <c r="D535" s="12"/>
      <c r="E535" s="12"/>
      <c r="F535" s="12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11"/>
      <c r="B536" s="12"/>
      <c r="C536" s="12"/>
      <c r="D536" s="12"/>
      <c r="E536" s="12"/>
      <c r="F536" s="12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11"/>
      <c r="B537" s="12"/>
      <c r="C537" s="12"/>
      <c r="D537" s="12"/>
      <c r="E537" s="12"/>
      <c r="F537" s="12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11"/>
      <c r="B538" s="12"/>
      <c r="C538" s="12"/>
      <c r="D538" s="12"/>
      <c r="E538" s="12"/>
      <c r="F538" s="12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11"/>
      <c r="B539" s="12"/>
      <c r="C539" s="12"/>
      <c r="D539" s="12"/>
      <c r="E539" s="12"/>
      <c r="F539" s="12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11"/>
      <c r="B540" s="12"/>
      <c r="C540" s="12"/>
      <c r="D540" s="12"/>
      <c r="E540" s="12"/>
      <c r="F540" s="12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11"/>
      <c r="B541" s="12"/>
      <c r="C541" s="12"/>
      <c r="D541" s="12"/>
      <c r="E541" s="12"/>
      <c r="F541" s="12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11"/>
      <c r="B542" s="12"/>
      <c r="C542" s="12"/>
      <c r="D542" s="12"/>
      <c r="E542" s="12"/>
      <c r="F542" s="12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11"/>
      <c r="B543" s="12"/>
      <c r="C543" s="12"/>
      <c r="D543" s="12"/>
      <c r="E543" s="12"/>
      <c r="F543" s="12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11"/>
      <c r="B544" s="12"/>
      <c r="C544" s="12"/>
      <c r="D544" s="12"/>
      <c r="E544" s="12"/>
      <c r="F544" s="12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11"/>
      <c r="B545" s="12"/>
      <c r="C545" s="12"/>
      <c r="D545" s="12"/>
      <c r="E545" s="12"/>
      <c r="F545" s="12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11"/>
      <c r="B546" s="12"/>
      <c r="C546" s="12"/>
      <c r="D546" s="12"/>
      <c r="E546" s="12"/>
      <c r="F546" s="12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11"/>
      <c r="B547" s="12"/>
      <c r="C547" s="12"/>
      <c r="D547" s="12"/>
      <c r="E547" s="12"/>
      <c r="F547" s="12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11"/>
      <c r="B548" s="12"/>
      <c r="C548" s="12"/>
      <c r="D548" s="12"/>
      <c r="E548" s="12"/>
      <c r="F548" s="12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11"/>
      <c r="B549" s="12"/>
      <c r="C549" s="12"/>
      <c r="D549" s="12"/>
      <c r="E549" s="12"/>
      <c r="F549" s="12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11"/>
      <c r="B550" s="12"/>
      <c r="C550" s="12"/>
      <c r="D550" s="12"/>
      <c r="E550" s="12"/>
      <c r="F550" s="12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11"/>
      <c r="B551" s="12"/>
      <c r="C551" s="12"/>
      <c r="D551" s="12"/>
      <c r="E551" s="12"/>
      <c r="F551" s="12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11"/>
      <c r="B552" s="12"/>
      <c r="C552" s="12"/>
      <c r="D552" s="12"/>
      <c r="E552" s="12"/>
      <c r="F552" s="12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11"/>
      <c r="B553" s="12"/>
      <c r="C553" s="12"/>
      <c r="D553" s="12"/>
      <c r="E553" s="12"/>
      <c r="F553" s="12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11"/>
      <c r="B554" s="12"/>
      <c r="C554" s="12"/>
      <c r="D554" s="12"/>
      <c r="E554" s="12"/>
      <c r="F554" s="12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11"/>
      <c r="B555" s="12"/>
      <c r="C555" s="12"/>
      <c r="D555" s="12"/>
      <c r="E555" s="12"/>
      <c r="F555" s="12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11"/>
      <c r="B556" s="12"/>
      <c r="C556" s="12"/>
      <c r="D556" s="12"/>
      <c r="E556" s="12"/>
      <c r="F556" s="12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11"/>
      <c r="B557" s="12"/>
      <c r="C557" s="12"/>
      <c r="D557" s="12"/>
      <c r="E557" s="12"/>
      <c r="F557" s="12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11"/>
      <c r="B558" s="12"/>
      <c r="C558" s="12"/>
      <c r="D558" s="12"/>
      <c r="E558" s="12"/>
      <c r="F558" s="12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11"/>
      <c r="B559" s="12"/>
      <c r="C559" s="12"/>
      <c r="D559" s="12"/>
      <c r="E559" s="12"/>
      <c r="F559" s="12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11"/>
      <c r="B560" s="12"/>
      <c r="C560" s="12"/>
      <c r="D560" s="12"/>
      <c r="E560" s="12"/>
      <c r="F560" s="12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11"/>
      <c r="B561" s="12"/>
      <c r="C561" s="12"/>
      <c r="D561" s="12"/>
      <c r="E561" s="12"/>
      <c r="F561" s="12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11"/>
      <c r="B562" s="12"/>
      <c r="C562" s="12"/>
      <c r="D562" s="12"/>
      <c r="E562" s="12"/>
      <c r="F562" s="12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11"/>
      <c r="B563" s="12"/>
      <c r="C563" s="12"/>
      <c r="D563" s="12"/>
      <c r="E563" s="12"/>
      <c r="F563" s="12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11"/>
      <c r="B564" s="12"/>
      <c r="C564" s="12"/>
      <c r="D564" s="12"/>
      <c r="E564" s="12"/>
      <c r="F564" s="12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11"/>
      <c r="B565" s="12"/>
      <c r="C565" s="12"/>
      <c r="D565" s="12"/>
      <c r="E565" s="12"/>
      <c r="F565" s="12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11"/>
      <c r="B566" s="12"/>
      <c r="C566" s="12"/>
      <c r="D566" s="12"/>
      <c r="E566" s="12"/>
      <c r="F566" s="12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11"/>
      <c r="B567" s="12"/>
      <c r="C567" s="12"/>
      <c r="D567" s="12"/>
      <c r="E567" s="12"/>
      <c r="F567" s="12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11"/>
      <c r="B568" s="12"/>
      <c r="C568" s="12"/>
      <c r="D568" s="12"/>
      <c r="E568" s="12"/>
      <c r="F568" s="12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11"/>
      <c r="B569" s="12"/>
      <c r="C569" s="12"/>
      <c r="D569" s="12"/>
      <c r="E569" s="12"/>
      <c r="F569" s="12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11"/>
      <c r="B570" s="12"/>
      <c r="C570" s="12"/>
      <c r="D570" s="12"/>
      <c r="E570" s="12"/>
      <c r="F570" s="12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11"/>
      <c r="B571" s="12"/>
      <c r="C571" s="12"/>
      <c r="D571" s="12"/>
      <c r="E571" s="12"/>
      <c r="F571" s="12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11"/>
      <c r="B572" s="12"/>
      <c r="C572" s="12"/>
      <c r="D572" s="12"/>
      <c r="E572" s="12"/>
      <c r="F572" s="12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11"/>
      <c r="B573" s="12"/>
      <c r="C573" s="12"/>
      <c r="D573" s="12"/>
      <c r="E573" s="12"/>
      <c r="F573" s="12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11"/>
      <c r="B574" s="12"/>
      <c r="C574" s="12"/>
      <c r="D574" s="12"/>
      <c r="E574" s="12"/>
      <c r="F574" s="12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11"/>
      <c r="B575" s="12"/>
      <c r="C575" s="12"/>
      <c r="D575" s="12"/>
      <c r="E575" s="12"/>
      <c r="F575" s="12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11"/>
      <c r="B576" s="12"/>
      <c r="C576" s="12"/>
      <c r="D576" s="12"/>
      <c r="E576" s="12"/>
      <c r="F576" s="12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11"/>
      <c r="B577" s="12"/>
      <c r="C577" s="12"/>
      <c r="D577" s="12"/>
      <c r="E577" s="12"/>
      <c r="F577" s="12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11"/>
      <c r="B578" s="12"/>
      <c r="C578" s="12"/>
      <c r="D578" s="12"/>
      <c r="E578" s="12"/>
      <c r="F578" s="12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11"/>
      <c r="B579" s="12"/>
      <c r="C579" s="12"/>
      <c r="D579" s="12"/>
      <c r="E579" s="12"/>
      <c r="F579" s="12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11"/>
      <c r="B580" s="12"/>
      <c r="C580" s="12"/>
      <c r="D580" s="12"/>
      <c r="E580" s="12"/>
      <c r="F580" s="12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11"/>
      <c r="B581" s="12"/>
      <c r="C581" s="12"/>
      <c r="D581" s="12"/>
      <c r="E581" s="12"/>
      <c r="F581" s="12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11"/>
      <c r="B582" s="12"/>
      <c r="C582" s="12"/>
      <c r="D582" s="12"/>
      <c r="E582" s="12"/>
      <c r="F582" s="12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11"/>
      <c r="B583" s="12"/>
      <c r="C583" s="12"/>
      <c r="D583" s="12"/>
      <c r="E583" s="12"/>
      <c r="F583" s="12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11"/>
      <c r="B584" s="12"/>
      <c r="C584" s="12"/>
      <c r="D584" s="12"/>
      <c r="E584" s="12"/>
      <c r="F584" s="12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11"/>
      <c r="B585" s="12"/>
      <c r="C585" s="12"/>
      <c r="D585" s="12"/>
      <c r="E585" s="12"/>
      <c r="F585" s="12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11"/>
      <c r="B586" s="12"/>
      <c r="C586" s="12"/>
      <c r="D586" s="12"/>
      <c r="E586" s="12"/>
      <c r="F586" s="12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11"/>
      <c r="B587" s="12"/>
      <c r="C587" s="12"/>
      <c r="D587" s="12"/>
      <c r="E587" s="12"/>
      <c r="F587" s="12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11"/>
      <c r="B588" s="12"/>
      <c r="C588" s="12"/>
      <c r="D588" s="12"/>
      <c r="E588" s="12"/>
      <c r="F588" s="12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11"/>
      <c r="B589" s="12"/>
      <c r="C589" s="12"/>
      <c r="D589" s="12"/>
      <c r="E589" s="12"/>
      <c r="F589" s="12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11"/>
      <c r="B590" s="12"/>
      <c r="C590" s="12"/>
      <c r="D590" s="12"/>
      <c r="E590" s="12"/>
      <c r="F590" s="12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11"/>
      <c r="B591" s="12"/>
      <c r="C591" s="12"/>
      <c r="D591" s="12"/>
      <c r="E591" s="12"/>
      <c r="F591" s="12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11"/>
      <c r="B592" s="12"/>
      <c r="C592" s="12"/>
      <c r="D592" s="12"/>
      <c r="E592" s="12"/>
      <c r="F592" s="12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11"/>
      <c r="B593" s="12"/>
      <c r="C593" s="12"/>
      <c r="D593" s="12"/>
      <c r="E593" s="12"/>
      <c r="F593" s="12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11"/>
      <c r="B594" s="12"/>
      <c r="C594" s="12"/>
      <c r="D594" s="12"/>
      <c r="E594" s="12"/>
      <c r="F594" s="12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11"/>
      <c r="B595" s="12"/>
      <c r="C595" s="12"/>
      <c r="D595" s="12"/>
      <c r="E595" s="12"/>
      <c r="F595" s="12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11"/>
      <c r="B596" s="12"/>
      <c r="C596" s="12"/>
      <c r="D596" s="12"/>
      <c r="E596" s="12"/>
      <c r="F596" s="12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11"/>
      <c r="B597" s="12"/>
      <c r="C597" s="12"/>
      <c r="D597" s="12"/>
      <c r="E597" s="12"/>
      <c r="F597" s="12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11"/>
      <c r="B598" s="12"/>
      <c r="C598" s="12"/>
      <c r="D598" s="12"/>
      <c r="E598" s="12"/>
      <c r="F598" s="12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11"/>
      <c r="B599" s="12"/>
      <c r="C599" s="12"/>
      <c r="D599" s="12"/>
      <c r="E599" s="12"/>
      <c r="F599" s="12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11"/>
      <c r="B600" s="12"/>
      <c r="C600" s="12"/>
      <c r="D600" s="12"/>
      <c r="E600" s="12"/>
      <c r="F600" s="12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11"/>
      <c r="B601" s="12"/>
      <c r="C601" s="12"/>
      <c r="D601" s="12"/>
      <c r="E601" s="12"/>
      <c r="F601" s="12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11"/>
      <c r="B602" s="12"/>
      <c r="C602" s="12"/>
      <c r="D602" s="12"/>
      <c r="E602" s="12"/>
      <c r="F602" s="12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11"/>
      <c r="B603" s="12"/>
      <c r="C603" s="12"/>
      <c r="D603" s="12"/>
      <c r="E603" s="12"/>
      <c r="F603" s="12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11"/>
      <c r="B604" s="12"/>
      <c r="C604" s="12"/>
      <c r="D604" s="12"/>
      <c r="E604" s="12"/>
      <c r="F604" s="12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11"/>
      <c r="B605" s="12"/>
      <c r="C605" s="12"/>
      <c r="D605" s="12"/>
      <c r="E605" s="12"/>
      <c r="F605" s="12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11"/>
      <c r="B606" s="12"/>
      <c r="C606" s="12"/>
      <c r="D606" s="12"/>
      <c r="E606" s="12"/>
      <c r="F606" s="12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11"/>
      <c r="B607" s="12"/>
      <c r="C607" s="12"/>
      <c r="D607" s="12"/>
      <c r="E607" s="12"/>
      <c r="F607" s="12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11"/>
      <c r="B608" s="12"/>
      <c r="C608" s="12"/>
      <c r="D608" s="12"/>
      <c r="E608" s="12"/>
      <c r="F608" s="1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11"/>
      <c r="B609" s="12"/>
      <c r="C609" s="12"/>
      <c r="D609" s="12"/>
      <c r="E609" s="12"/>
      <c r="F609" s="12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11"/>
      <c r="B610" s="12"/>
      <c r="C610" s="12"/>
      <c r="D610" s="12"/>
      <c r="E610" s="12"/>
      <c r="F610" s="12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11"/>
      <c r="B611" s="12"/>
      <c r="C611" s="12"/>
      <c r="D611" s="12"/>
      <c r="E611" s="12"/>
      <c r="F611" s="12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11"/>
      <c r="B612" s="12"/>
      <c r="C612" s="12"/>
      <c r="D612" s="12"/>
      <c r="E612" s="12"/>
      <c r="F612" s="12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11"/>
      <c r="B613" s="12"/>
      <c r="C613" s="12"/>
      <c r="D613" s="12"/>
      <c r="E613" s="12"/>
      <c r="F613" s="12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11"/>
      <c r="B614" s="12"/>
      <c r="C614" s="12"/>
      <c r="D614" s="12"/>
      <c r="E614" s="12"/>
      <c r="F614" s="12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11"/>
      <c r="B615" s="12"/>
      <c r="C615" s="12"/>
      <c r="D615" s="12"/>
      <c r="E615" s="12"/>
      <c r="F615" s="12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11"/>
      <c r="B616" s="12"/>
      <c r="C616" s="12"/>
      <c r="D616" s="12"/>
      <c r="E616" s="12"/>
      <c r="F616" s="12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11"/>
      <c r="B617" s="12"/>
      <c r="C617" s="12"/>
      <c r="D617" s="12"/>
      <c r="E617" s="12"/>
      <c r="F617" s="12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11"/>
      <c r="B618" s="12"/>
      <c r="C618" s="12"/>
      <c r="D618" s="12"/>
      <c r="E618" s="12"/>
      <c r="F618" s="12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11"/>
      <c r="B619" s="12"/>
      <c r="C619" s="12"/>
      <c r="D619" s="12"/>
      <c r="E619" s="12"/>
      <c r="F619" s="12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11"/>
      <c r="B620" s="12"/>
      <c r="C620" s="12"/>
      <c r="D620" s="12"/>
      <c r="E620" s="12"/>
      <c r="F620" s="12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11"/>
      <c r="B621" s="12"/>
      <c r="C621" s="12"/>
      <c r="D621" s="12"/>
      <c r="E621" s="12"/>
      <c r="F621" s="12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11"/>
      <c r="B622" s="12"/>
      <c r="C622" s="12"/>
      <c r="D622" s="12"/>
      <c r="E622" s="12"/>
      <c r="F622" s="12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11"/>
      <c r="B623" s="12"/>
      <c r="C623" s="12"/>
      <c r="D623" s="12"/>
      <c r="E623" s="12"/>
      <c r="F623" s="12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11"/>
      <c r="B624" s="12"/>
      <c r="C624" s="12"/>
      <c r="D624" s="12"/>
      <c r="E624" s="12"/>
      <c r="F624" s="12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11"/>
      <c r="B625" s="12"/>
      <c r="C625" s="12"/>
      <c r="D625" s="12"/>
      <c r="E625" s="12"/>
      <c r="F625" s="12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11"/>
      <c r="B626" s="12"/>
      <c r="C626" s="12"/>
      <c r="D626" s="12"/>
      <c r="E626" s="12"/>
      <c r="F626" s="12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11"/>
      <c r="B627" s="12"/>
      <c r="C627" s="12"/>
      <c r="D627" s="12"/>
      <c r="E627" s="12"/>
      <c r="F627" s="12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11"/>
      <c r="B628" s="12"/>
      <c r="C628" s="12"/>
      <c r="D628" s="12"/>
      <c r="E628" s="12"/>
      <c r="F628" s="12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11"/>
      <c r="B629" s="12"/>
      <c r="C629" s="12"/>
      <c r="D629" s="12"/>
      <c r="E629" s="12"/>
      <c r="F629" s="12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11"/>
      <c r="B630" s="12"/>
      <c r="C630" s="12"/>
      <c r="D630" s="12"/>
      <c r="E630" s="12"/>
      <c r="F630" s="12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11"/>
      <c r="B631" s="12"/>
      <c r="C631" s="12"/>
      <c r="D631" s="12"/>
      <c r="E631" s="12"/>
      <c r="F631" s="12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11"/>
      <c r="B632" s="12"/>
      <c r="C632" s="12"/>
      <c r="D632" s="12"/>
      <c r="E632" s="12"/>
      <c r="F632" s="12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11"/>
      <c r="B633" s="12"/>
      <c r="C633" s="12"/>
      <c r="D633" s="12"/>
      <c r="E633" s="12"/>
      <c r="F633" s="12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11"/>
      <c r="B634" s="12"/>
      <c r="C634" s="12"/>
      <c r="D634" s="12"/>
      <c r="E634" s="12"/>
      <c r="F634" s="12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11"/>
      <c r="B635" s="12"/>
      <c r="C635" s="12"/>
      <c r="D635" s="12"/>
      <c r="E635" s="12"/>
      <c r="F635" s="12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11"/>
      <c r="B636" s="12"/>
      <c r="C636" s="12"/>
      <c r="D636" s="12"/>
      <c r="E636" s="12"/>
      <c r="F636" s="12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11"/>
      <c r="B637" s="12"/>
      <c r="C637" s="12"/>
      <c r="D637" s="12"/>
      <c r="E637" s="12"/>
      <c r="F637" s="12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11"/>
      <c r="B638" s="12"/>
      <c r="C638" s="12"/>
      <c r="D638" s="12"/>
      <c r="E638" s="12"/>
      <c r="F638" s="12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11"/>
      <c r="B639" s="12"/>
      <c r="C639" s="12"/>
      <c r="D639" s="12"/>
      <c r="E639" s="12"/>
      <c r="F639" s="12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11"/>
      <c r="B640" s="12"/>
      <c r="C640" s="12"/>
      <c r="D640" s="12"/>
      <c r="E640" s="12"/>
      <c r="F640" s="12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11"/>
      <c r="B641" s="12"/>
      <c r="C641" s="12"/>
      <c r="D641" s="12"/>
      <c r="E641" s="12"/>
      <c r="F641" s="12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11"/>
      <c r="B642" s="12"/>
      <c r="C642" s="12"/>
      <c r="D642" s="12"/>
      <c r="E642" s="12"/>
      <c r="F642" s="12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11"/>
      <c r="B643" s="12"/>
      <c r="C643" s="12"/>
      <c r="D643" s="12"/>
      <c r="E643" s="12"/>
      <c r="F643" s="12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11"/>
      <c r="B644" s="12"/>
      <c r="C644" s="12"/>
      <c r="D644" s="12"/>
      <c r="E644" s="12"/>
      <c r="F644" s="12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11"/>
      <c r="B645" s="12"/>
      <c r="C645" s="12"/>
      <c r="D645" s="12"/>
      <c r="E645" s="12"/>
      <c r="F645" s="12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11"/>
      <c r="B646" s="12"/>
      <c r="C646" s="12"/>
      <c r="D646" s="12"/>
      <c r="E646" s="12"/>
      <c r="F646" s="12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11"/>
      <c r="B647" s="12"/>
      <c r="C647" s="12"/>
      <c r="D647" s="12"/>
      <c r="E647" s="12"/>
      <c r="F647" s="12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11"/>
      <c r="B648" s="12"/>
      <c r="C648" s="12"/>
      <c r="D648" s="12"/>
      <c r="E648" s="12"/>
      <c r="F648" s="12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11"/>
      <c r="B649" s="12"/>
      <c r="C649" s="12"/>
      <c r="D649" s="12"/>
      <c r="E649" s="12"/>
      <c r="F649" s="12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11"/>
      <c r="B650" s="12"/>
      <c r="C650" s="12"/>
      <c r="D650" s="12"/>
      <c r="E650" s="12"/>
      <c r="F650" s="12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11"/>
      <c r="B651" s="12"/>
      <c r="C651" s="12"/>
      <c r="D651" s="12"/>
      <c r="E651" s="12"/>
      <c r="F651" s="12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11"/>
      <c r="B652" s="12"/>
      <c r="C652" s="12"/>
      <c r="D652" s="12"/>
      <c r="E652" s="12"/>
      <c r="F652" s="12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11"/>
      <c r="B653" s="12"/>
      <c r="C653" s="12"/>
      <c r="D653" s="12"/>
      <c r="E653" s="12"/>
      <c r="F653" s="12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11"/>
      <c r="B654" s="12"/>
      <c r="C654" s="12"/>
      <c r="D654" s="12"/>
      <c r="E654" s="12"/>
      <c r="F654" s="12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11"/>
      <c r="B655" s="12"/>
      <c r="C655" s="12"/>
      <c r="D655" s="12"/>
      <c r="E655" s="12"/>
      <c r="F655" s="12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11"/>
      <c r="B656" s="12"/>
      <c r="C656" s="12"/>
      <c r="D656" s="12"/>
      <c r="E656" s="12"/>
      <c r="F656" s="12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11"/>
      <c r="B657" s="12"/>
      <c r="C657" s="12"/>
      <c r="D657" s="12"/>
      <c r="E657" s="12"/>
      <c r="F657" s="12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11"/>
      <c r="B658" s="12"/>
      <c r="C658" s="12"/>
      <c r="D658" s="12"/>
      <c r="E658" s="12"/>
      <c r="F658" s="12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11"/>
      <c r="B659" s="12"/>
      <c r="C659" s="12"/>
      <c r="D659" s="12"/>
      <c r="E659" s="12"/>
      <c r="F659" s="12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11"/>
      <c r="B660" s="12"/>
      <c r="C660" s="12"/>
      <c r="D660" s="12"/>
      <c r="E660" s="12"/>
      <c r="F660" s="12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11"/>
      <c r="B661" s="12"/>
      <c r="C661" s="12"/>
      <c r="D661" s="12"/>
      <c r="E661" s="12"/>
      <c r="F661" s="12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11"/>
      <c r="B662" s="12"/>
      <c r="C662" s="12"/>
      <c r="D662" s="12"/>
      <c r="E662" s="12"/>
      <c r="F662" s="12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11"/>
      <c r="B663" s="12"/>
      <c r="C663" s="12"/>
      <c r="D663" s="12"/>
      <c r="E663" s="12"/>
      <c r="F663" s="12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11"/>
      <c r="B664" s="12"/>
      <c r="C664" s="12"/>
      <c r="D664" s="12"/>
      <c r="E664" s="12"/>
      <c r="F664" s="12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11"/>
      <c r="B665" s="12"/>
      <c r="C665" s="12"/>
      <c r="D665" s="12"/>
      <c r="E665" s="12"/>
      <c r="F665" s="12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11"/>
      <c r="B666" s="12"/>
      <c r="C666" s="12"/>
      <c r="D666" s="12"/>
      <c r="E666" s="12"/>
      <c r="F666" s="12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11"/>
      <c r="B667" s="12"/>
      <c r="C667" s="12"/>
      <c r="D667" s="12"/>
      <c r="E667" s="12"/>
      <c r="F667" s="12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11"/>
      <c r="B668" s="12"/>
      <c r="C668" s="12"/>
      <c r="D668" s="12"/>
      <c r="E668" s="12"/>
      <c r="F668" s="12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11"/>
      <c r="B669" s="12"/>
      <c r="C669" s="12"/>
      <c r="D669" s="12"/>
      <c r="E669" s="12"/>
      <c r="F669" s="12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11"/>
      <c r="B670" s="12"/>
      <c r="C670" s="12"/>
      <c r="D670" s="12"/>
      <c r="E670" s="12"/>
      <c r="F670" s="12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11"/>
      <c r="B671" s="12"/>
      <c r="C671" s="12"/>
      <c r="D671" s="12"/>
      <c r="E671" s="12"/>
      <c r="F671" s="12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11"/>
      <c r="B672" s="12"/>
      <c r="C672" s="12"/>
      <c r="D672" s="12"/>
      <c r="E672" s="12"/>
      <c r="F672" s="12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11"/>
      <c r="B673" s="12"/>
      <c r="C673" s="12"/>
      <c r="D673" s="12"/>
      <c r="E673" s="12"/>
      <c r="F673" s="12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11"/>
      <c r="B674" s="12"/>
      <c r="C674" s="12"/>
      <c r="D674" s="12"/>
      <c r="E674" s="12"/>
      <c r="F674" s="12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11"/>
      <c r="B675" s="12"/>
      <c r="C675" s="12"/>
      <c r="D675" s="12"/>
      <c r="E675" s="12"/>
      <c r="F675" s="12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11"/>
      <c r="B676" s="12"/>
      <c r="C676" s="12"/>
      <c r="D676" s="12"/>
      <c r="E676" s="12"/>
      <c r="F676" s="12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11"/>
      <c r="B677" s="12"/>
      <c r="C677" s="12"/>
      <c r="D677" s="12"/>
      <c r="E677" s="12"/>
      <c r="F677" s="1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11"/>
      <c r="B678" s="12"/>
      <c r="C678" s="12"/>
      <c r="D678" s="12"/>
      <c r="E678" s="12"/>
      <c r="F678" s="12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11"/>
      <c r="B679" s="12"/>
      <c r="C679" s="12"/>
      <c r="D679" s="12"/>
      <c r="E679" s="12"/>
      <c r="F679" s="12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11"/>
      <c r="B680" s="12"/>
      <c r="C680" s="12"/>
      <c r="D680" s="12"/>
      <c r="E680" s="12"/>
      <c r="F680" s="12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11"/>
      <c r="B681" s="12"/>
      <c r="C681" s="12"/>
      <c r="D681" s="12"/>
      <c r="E681" s="12"/>
      <c r="F681" s="12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11"/>
      <c r="B682" s="12"/>
      <c r="C682" s="12"/>
      <c r="D682" s="12"/>
      <c r="E682" s="12"/>
      <c r="F682" s="12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11"/>
      <c r="B683" s="12"/>
      <c r="C683" s="12"/>
      <c r="D683" s="12"/>
      <c r="E683" s="12"/>
      <c r="F683" s="12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11"/>
      <c r="B684" s="12"/>
      <c r="C684" s="12"/>
      <c r="D684" s="12"/>
      <c r="E684" s="12"/>
      <c r="F684" s="12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11"/>
      <c r="B685" s="12"/>
      <c r="C685" s="12"/>
      <c r="D685" s="12"/>
      <c r="E685" s="12"/>
      <c r="F685" s="12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11"/>
      <c r="B686" s="12"/>
      <c r="C686" s="12"/>
      <c r="D686" s="12"/>
      <c r="E686" s="12"/>
      <c r="F686" s="12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11"/>
      <c r="B687" s="12"/>
      <c r="C687" s="12"/>
      <c r="D687" s="12"/>
      <c r="E687" s="12"/>
      <c r="F687" s="12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11"/>
      <c r="B688" s="12"/>
      <c r="C688" s="12"/>
      <c r="D688" s="12"/>
      <c r="E688" s="12"/>
      <c r="F688" s="12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11"/>
      <c r="B689" s="12"/>
      <c r="C689" s="12"/>
      <c r="D689" s="12"/>
      <c r="E689" s="12"/>
      <c r="F689" s="12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11"/>
      <c r="B690" s="12"/>
      <c r="C690" s="12"/>
      <c r="D690" s="12"/>
      <c r="E690" s="12"/>
      <c r="F690" s="12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11"/>
      <c r="B691" s="12"/>
      <c r="C691" s="12"/>
      <c r="D691" s="12"/>
      <c r="E691" s="12"/>
      <c r="F691" s="12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11"/>
      <c r="B692" s="12"/>
      <c r="C692" s="12"/>
      <c r="D692" s="12"/>
      <c r="E692" s="12"/>
      <c r="F692" s="12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11"/>
      <c r="B693" s="12"/>
      <c r="C693" s="12"/>
      <c r="D693" s="12"/>
      <c r="E693" s="12"/>
      <c r="F693" s="12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11"/>
      <c r="B694" s="12"/>
      <c r="C694" s="12"/>
      <c r="D694" s="12"/>
      <c r="E694" s="12"/>
      <c r="F694" s="12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11"/>
      <c r="B695" s="12"/>
      <c r="C695" s="12"/>
      <c r="D695" s="12"/>
      <c r="E695" s="12"/>
      <c r="F695" s="12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11"/>
      <c r="B696" s="12"/>
      <c r="C696" s="12"/>
      <c r="D696" s="12"/>
      <c r="E696" s="12"/>
      <c r="F696" s="12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11"/>
      <c r="B697" s="12"/>
      <c r="C697" s="12"/>
      <c r="D697" s="12"/>
      <c r="E697" s="12"/>
      <c r="F697" s="12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11"/>
      <c r="B698" s="12"/>
      <c r="C698" s="12"/>
      <c r="D698" s="12"/>
      <c r="E698" s="12"/>
      <c r="F698" s="12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11"/>
      <c r="B699" s="12"/>
      <c r="C699" s="12"/>
      <c r="D699" s="12"/>
      <c r="E699" s="12"/>
      <c r="F699" s="12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11"/>
      <c r="B700" s="12"/>
      <c r="C700" s="12"/>
      <c r="D700" s="12"/>
      <c r="E700" s="12"/>
      <c r="F700" s="12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11"/>
      <c r="B701" s="12"/>
      <c r="C701" s="12"/>
      <c r="D701" s="12"/>
      <c r="E701" s="12"/>
      <c r="F701" s="12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11"/>
      <c r="B702" s="12"/>
      <c r="C702" s="12"/>
      <c r="D702" s="12"/>
      <c r="E702" s="12"/>
      <c r="F702" s="12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11"/>
      <c r="B703" s="12"/>
      <c r="C703" s="12"/>
      <c r="D703" s="12"/>
      <c r="E703" s="12"/>
      <c r="F703" s="12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11"/>
      <c r="B704" s="12"/>
      <c r="C704" s="12"/>
      <c r="D704" s="12"/>
      <c r="E704" s="12"/>
      <c r="F704" s="12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11"/>
      <c r="B705" s="12"/>
      <c r="C705" s="12"/>
      <c r="D705" s="12"/>
      <c r="E705" s="12"/>
      <c r="F705" s="12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11"/>
      <c r="B706" s="12"/>
      <c r="C706" s="12"/>
      <c r="D706" s="12"/>
      <c r="E706" s="12"/>
      <c r="F706" s="12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11"/>
      <c r="B707" s="12"/>
      <c r="C707" s="12"/>
      <c r="D707" s="12"/>
      <c r="E707" s="12"/>
      <c r="F707" s="12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11"/>
      <c r="B708" s="12"/>
      <c r="C708" s="12"/>
      <c r="D708" s="12"/>
      <c r="E708" s="12"/>
      <c r="F708" s="12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11"/>
      <c r="B709" s="12"/>
      <c r="C709" s="12"/>
      <c r="D709" s="12"/>
      <c r="E709" s="12"/>
      <c r="F709" s="12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11"/>
      <c r="B710" s="12"/>
      <c r="C710" s="12"/>
      <c r="D710" s="12"/>
      <c r="E710" s="12"/>
      <c r="F710" s="12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11"/>
      <c r="B711" s="12"/>
      <c r="C711" s="12"/>
      <c r="D711" s="12"/>
      <c r="E711" s="12"/>
      <c r="F711" s="12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11"/>
      <c r="B712" s="12"/>
      <c r="C712" s="12"/>
      <c r="D712" s="12"/>
      <c r="E712" s="12"/>
      <c r="F712" s="12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11"/>
      <c r="B713" s="12"/>
      <c r="C713" s="12"/>
      <c r="D713" s="12"/>
      <c r="E713" s="12"/>
      <c r="F713" s="12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11"/>
      <c r="B714" s="12"/>
      <c r="C714" s="12"/>
      <c r="D714" s="12"/>
      <c r="E714" s="12"/>
      <c r="F714" s="12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11"/>
      <c r="B715" s="12"/>
      <c r="C715" s="12"/>
      <c r="D715" s="12"/>
      <c r="E715" s="12"/>
      <c r="F715" s="12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11"/>
      <c r="B716" s="12"/>
      <c r="C716" s="12"/>
      <c r="D716" s="12"/>
      <c r="E716" s="12"/>
      <c r="F716" s="12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11"/>
      <c r="B717" s="12"/>
      <c r="C717" s="12"/>
      <c r="D717" s="12"/>
      <c r="E717" s="12"/>
      <c r="F717" s="12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11"/>
      <c r="B718" s="12"/>
      <c r="C718" s="12"/>
      <c r="D718" s="12"/>
      <c r="E718" s="12"/>
      <c r="F718" s="12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11"/>
      <c r="B719" s="12"/>
      <c r="C719" s="12"/>
      <c r="D719" s="12"/>
      <c r="E719" s="12"/>
      <c r="F719" s="12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11"/>
      <c r="B720" s="12"/>
      <c r="C720" s="12"/>
      <c r="D720" s="12"/>
      <c r="E720" s="12"/>
      <c r="F720" s="12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11"/>
      <c r="B721" s="12"/>
      <c r="C721" s="12"/>
      <c r="D721" s="12"/>
      <c r="E721" s="12"/>
      <c r="F721" s="12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11"/>
      <c r="B722" s="12"/>
      <c r="C722" s="12"/>
      <c r="D722" s="12"/>
      <c r="E722" s="12"/>
      <c r="F722" s="12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11"/>
      <c r="B723" s="12"/>
      <c r="C723" s="12"/>
      <c r="D723" s="12"/>
      <c r="E723" s="12"/>
      <c r="F723" s="12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11"/>
      <c r="B724" s="12"/>
      <c r="C724" s="12"/>
      <c r="D724" s="12"/>
      <c r="E724" s="12"/>
      <c r="F724" s="12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11"/>
      <c r="B725" s="12"/>
      <c r="C725" s="12"/>
      <c r="D725" s="12"/>
      <c r="E725" s="12"/>
      <c r="F725" s="12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11"/>
      <c r="B726" s="12"/>
      <c r="C726" s="12"/>
      <c r="D726" s="12"/>
      <c r="E726" s="12"/>
      <c r="F726" s="12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11"/>
      <c r="B727" s="12"/>
      <c r="C727" s="12"/>
      <c r="D727" s="12"/>
      <c r="E727" s="12"/>
      <c r="F727" s="12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11"/>
      <c r="B728" s="12"/>
      <c r="C728" s="12"/>
      <c r="D728" s="12"/>
      <c r="E728" s="12"/>
      <c r="F728" s="12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11"/>
      <c r="B729" s="12"/>
      <c r="C729" s="12"/>
      <c r="D729" s="12"/>
      <c r="E729" s="12"/>
      <c r="F729" s="12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11"/>
      <c r="B730" s="12"/>
      <c r="C730" s="12"/>
      <c r="D730" s="12"/>
      <c r="E730" s="12"/>
      <c r="F730" s="12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11"/>
      <c r="B731" s="12"/>
      <c r="C731" s="12"/>
      <c r="D731" s="12"/>
      <c r="E731" s="12"/>
      <c r="F731" s="12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11"/>
      <c r="B732" s="12"/>
      <c r="C732" s="12"/>
      <c r="D732" s="12"/>
      <c r="E732" s="12"/>
      <c r="F732" s="12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11"/>
      <c r="B733" s="12"/>
      <c r="C733" s="12"/>
      <c r="D733" s="12"/>
      <c r="E733" s="12"/>
      <c r="F733" s="12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11"/>
      <c r="B734" s="12"/>
      <c r="C734" s="12"/>
      <c r="D734" s="12"/>
      <c r="E734" s="12"/>
      <c r="F734" s="12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11"/>
      <c r="B735" s="12"/>
      <c r="C735" s="12"/>
      <c r="D735" s="12"/>
      <c r="E735" s="12"/>
      <c r="F735" s="12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11"/>
      <c r="B736" s="12"/>
      <c r="C736" s="12"/>
      <c r="D736" s="12"/>
      <c r="E736" s="12"/>
      <c r="F736" s="12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11"/>
      <c r="B737" s="12"/>
      <c r="C737" s="12"/>
      <c r="D737" s="12"/>
      <c r="E737" s="12"/>
      <c r="F737" s="12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11"/>
      <c r="B738" s="12"/>
      <c r="C738" s="12"/>
      <c r="D738" s="12"/>
      <c r="E738" s="12"/>
      <c r="F738" s="12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11"/>
      <c r="B739" s="12"/>
      <c r="C739" s="12"/>
      <c r="D739" s="12"/>
      <c r="E739" s="12"/>
      <c r="F739" s="12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11"/>
      <c r="B740" s="12"/>
      <c r="C740" s="12"/>
      <c r="D740" s="12"/>
      <c r="E740" s="12"/>
      <c r="F740" s="12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11"/>
      <c r="B741" s="12"/>
      <c r="C741" s="12"/>
      <c r="D741" s="12"/>
      <c r="E741" s="12"/>
      <c r="F741" s="12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11"/>
      <c r="B742" s="12"/>
      <c r="C742" s="12"/>
      <c r="D742" s="12"/>
      <c r="E742" s="12"/>
      <c r="F742" s="12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11"/>
      <c r="B743" s="12"/>
      <c r="C743" s="12"/>
      <c r="D743" s="12"/>
      <c r="E743" s="12"/>
      <c r="F743" s="12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11"/>
      <c r="B744" s="12"/>
      <c r="C744" s="12"/>
      <c r="D744" s="12"/>
      <c r="E744" s="12"/>
      <c r="F744" s="12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11"/>
      <c r="B745" s="12"/>
      <c r="C745" s="12"/>
      <c r="D745" s="12"/>
      <c r="E745" s="12"/>
      <c r="F745" s="12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11"/>
      <c r="B746" s="12"/>
      <c r="C746" s="12"/>
      <c r="D746" s="12"/>
      <c r="E746" s="12"/>
      <c r="F746" s="12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11"/>
      <c r="B747" s="12"/>
      <c r="C747" s="12"/>
      <c r="D747" s="12"/>
      <c r="E747" s="12"/>
      <c r="F747" s="12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11"/>
      <c r="B748" s="12"/>
      <c r="C748" s="12"/>
      <c r="D748" s="12"/>
      <c r="E748" s="12"/>
      <c r="F748" s="12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11"/>
      <c r="B749" s="12"/>
      <c r="C749" s="12"/>
      <c r="D749" s="12"/>
      <c r="E749" s="12"/>
      <c r="F749" s="12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11"/>
      <c r="B750" s="12"/>
      <c r="C750" s="12"/>
      <c r="D750" s="12"/>
      <c r="E750" s="12"/>
      <c r="F750" s="12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11"/>
      <c r="B751" s="12"/>
      <c r="C751" s="12"/>
      <c r="D751" s="12"/>
      <c r="E751" s="12"/>
      <c r="F751" s="12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11"/>
      <c r="B752" s="12"/>
      <c r="C752" s="12"/>
      <c r="D752" s="12"/>
      <c r="E752" s="12"/>
      <c r="F752" s="12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11"/>
      <c r="B753" s="12"/>
      <c r="C753" s="12"/>
      <c r="D753" s="12"/>
      <c r="E753" s="12"/>
      <c r="F753" s="12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11"/>
      <c r="B754" s="12"/>
      <c r="C754" s="12"/>
      <c r="D754" s="12"/>
      <c r="E754" s="12"/>
      <c r="F754" s="12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11"/>
      <c r="B755" s="12"/>
      <c r="C755" s="12"/>
      <c r="D755" s="12"/>
      <c r="E755" s="12"/>
      <c r="F755" s="12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11"/>
      <c r="B756" s="12"/>
      <c r="C756" s="12"/>
      <c r="D756" s="12"/>
      <c r="E756" s="12"/>
      <c r="F756" s="12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11"/>
      <c r="B757" s="12"/>
      <c r="C757" s="12"/>
      <c r="D757" s="12"/>
      <c r="E757" s="12"/>
      <c r="F757" s="12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11"/>
      <c r="B758" s="12"/>
      <c r="C758" s="12"/>
      <c r="D758" s="12"/>
      <c r="E758" s="12"/>
      <c r="F758" s="12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11"/>
      <c r="B759" s="12"/>
      <c r="C759" s="12"/>
      <c r="D759" s="12"/>
      <c r="E759" s="12"/>
      <c r="F759" s="12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11"/>
      <c r="B760" s="12"/>
      <c r="C760" s="12"/>
      <c r="D760" s="12"/>
      <c r="E760" s="12"/>
      <c r="F760" s="12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11"/>
      <c r="B761" s="12"/>
      <c r="C761" s="12"/>
      <c r="D761" s="12"/>
      <c r="E761" s="12"/>
      <c r="F761" s="12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11"/>
      <c r="B762" s="12"/>
      <c r="C762" s="12"/>
      <c r="D762" s="12"/>
      <c r="E762" s="12"/>
      <c r="F762" s="12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11"/>
      <c r="B763" s="12"/>
      <c r="C763" s="12"/>
      <c r="D763" s="12"/>
      <c r="E763" s="12"/>
      <c r="F763" s="12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11"/>
      <c r="B764" s="12"/>
      <c r="C764" s="12"/>
      <c r="D764" s="12"/>
      <c r="E764" s="12"/>
      <c r="F764" s="12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11"/>
      <c r="B765" s="12"/>
      <c r="C765" s="12"/>
      <c r="D765" s="12"/>
      <c r="E765" s="12"/>
      <c r="F765" s="12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11"/>
      <c r="B766" s="12"/>
      <c r="C766" s="12"/>
      <c r="D766" s="12"/>
      <c r="E766" s="12"/>
      <c r="F766" s="12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11"/>
      <c r="B767" s="12"/>
      <c r="C767" s="12"/>
      <c r="D767" s="12"/>
      <c r="E767" s="12"/>
      <c r="F767" s="12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11"/>
      <c r="B768" s="12"/>
      <c r="C768" s="12"/>
      <c r="D768" s="12"/>
      <c r="E768" s="12"/>
      <c r="F768" s="12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11"/>
      <c r="B769" s="12"/>
      <c r="C769" s="12"/>
      <c r="D769" s="12"/>
      <c r="E769" s="12"/>
      <c r="F769" s="12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11"/>
      <c r="B770" s="12"/>
      <c r="C770" s="12"/>
      <c r="D770" s="12"/>
      <c r="E770" s="12"/>
      <c r="F770" s="12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11"/>
      <c r="B771" s="12"/>
      <c r="C771" s="12"/>
      <c r="D771" s="12"/>
      <c r="E771" s="12"/>
      <c r="F771" s="12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11"/>
      <c r="B772" s="12"/>
      <c r="C772" s="12"/>
      <c r="D772" s="12"/>
      <c r="E772" s="12"/>
      <c r="F772" s="12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11"/>
      <c r="B773" s="12"/>
      <c r="C773" s="12"/>
      <c r="D773" s="12"/>
      <c r="E773" s="12"/>
      <c r="F773" s="12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11"/>
      <c r="B774" s="12"/>
      <c r="C774" s="12"/>
      <c r="D774" s="12"/>
      <c r="E774" s="12"/>
      <c r="F774" s="12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11"/>
      <c r="B775" s="12"/>
      <c r="C775" s="12"/>
      <c r="D775" s="12"/>
      <c r="E775" s="12"/>
      <c r="F775" s="12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11"/>
      <c r="B776" s="12"/>
      <c r="C776" s="12"/>
      <c r="D776" s="12"/>
      <c r="E776" s="12"/>
      <c r="F776" s="12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11"/>
      <c r="B777" s="12"/>
      <c r="C777" s="12"/>
      <c r="D777" s="12"/>
      <c r="E777" s="12"/>
      <c r="F777" s="12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11"/>
      <c r="B778" s="12"/>
      <c r="C778" s="12"/>
      <c r="D778" s="12"/>
      <c r="E778" s="12"/>
      <c r="F778" s="12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11"/>
      <c r="B779" s="12"/>
      <c r="C779" s="12"/>
      <c r="D779" s="12"/>
      <c r="E779" s="12"/>
      <c r="F779" s="12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11"/>
      <c r="B780" s="12"/>
      <c r="C780" s="12"/>
      <c r="D780" s="12"/>
      <c r="E780" s="12"/>
      <c r="F780" s="12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11"/>
      <c r="B781" s="12"/>
      <c r="C781" s="12"/>
      <c r="D781" s="12"/>
      <c r="E781" s="12"/>
      <c r="F781" s="12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11"/>
      <c r="B782" s="12"/>
      <c r="C782" s="12"/>
      <c r="D782" s="12"/>
      <c r="E782" s="12"/>
      <c r="F782" s="12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11"/>
      <c r="B783" s="12"/>
      <c r="C783" s="12"/>
      <c r="D783" s="12"/>
      <c r="E783" s="12"/>
      <c r="F783" s="12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11"/>
      <c r="B784" s="12"/>
      <c r="C784" s="12"/>
      <c r="D784" s="12"/>
      <c r="E784" s="12"/>
      <c r="F784" s="12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11"/>
      <c r="B785" s="12"/>
      <c r="C785" s="12"/>
      <c r="D785" s="12"/>
      <c r="E785" s="12"/>
      <c r="F785" s="12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11"/>
      <c r="B786" s="12"/>
      <c r="C786" s="12"/>
      <c r="D786" s="12"/>
      <c r="E786" s="12"/>
      <c r="F786" s="12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11"/>
      <c r="B787" s="12"/>
      <c r="C787" s="12"/>
      <c r="D787" s="12"/>
      <c r="E787" s="12"/>
      <c r="F787" s="12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11"/>
      <c r="B788" s="12"/>
      <c r="C788" s="12"/>
      <c r="D788" s="12"/>
      <c r="E788" s="12"/>
      <c r="F788" s="12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11"/>
      <c r="B789" s="12"/>
      <c r="C789" s="12"/>
      <c r="D789" s="12"/>
      <c r="E789" s="12"/>
      <c r="F789" s="12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11"/>
      <c r="B790" s="12"/>
      <c r="C790" s="12"/>
      <c r="D790" s="12"/>
      <c r="E790" s="12"/>
      <c r="F790" s="12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11"/>
      <c r="B791" s="12"/>
      <c r="C791" s="12"/>
      <c r="D791" s="12"/>
      <c r="E791" s="12"/>
      <c r="F791" s="12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11"/>
      <c r="B792" s="12"/>
      <c r="C792" s="12"/>
      <c r="D792" s="12"/>
      <c r="E792" s="12"/>
      <c r="F792" s="12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11"/>
      <c r="B793" s="12"/>
      <c r="C793" s="12"/>
      <c r="D793" s="12"/>
      <c r="E793" s="12"/>
      <c r="F793" s="12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11"/>
      <c r="B794" s="12"/>
      <c r="C794" s="12"/>
      <c r="D794" s="12"/>
      <c r="E794" s="12"/>
      <c r="F794" s="12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11"/>
      <c r="B795" s="12"/>
      <c r="C795" s="12"/>
      <c r="D795" s="12"/>
      <c r="E795" s="12"/>
      <c r="F795" s="12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11"/>
      <c r="B796" s="12"/>
      <c r="C796" s="12"/>
      <c r="D796" s="12"/>
      <c r="E796" s="12"/>
      <c r="F796" s="12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11"/>
      <c r="B797" s="12"/>
      <c r="C797" s="12"/>
      <c r="D797" s="12"/>
      <c r="E797" s="12"/>
      <c r="F797" s="12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11"/>
      <c r="B798" s="12"/>
      <c r="C798" s="12"/>
      <c r="D798" s="12"/>
      <c r="E798" s="12"/>
      <c r="F798" s="12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11"/>
      <c r="B799" s="12"/>
      <c r="C799" s="12"/>
      <c r="D799" s="12"/>
      <c r="E799" s="12"/>
      <c r="F799" s="12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11"/>
      <c r="B800" s="12"/>
      <c r="C800" s="12"/>
      <c r="D800" s="12"/>
      <c r="E800" s="12"/>
      <c r="F800" s="12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11"/>
      <c r="B801" s="12"/>
      <c r="C801" s="12"/>
      <c r="D801" s="12"/>
      <c r="E801" s="12"/>
      <c r="F801" s="12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11"/>
      <c r="B802" s="12"/>
      <c r="C802" s="12"/>
      <c r="D802" s="12"/>
      <c r="E802" s="12"/>
      <c r="F802" s="12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11"/>
      <c r="B803" s="12"/>
      <c r="C803" s="12"/>
      <c r="D803" s="12"/>
      <c r="E803" s="12"/>
      <c r="F803" s="12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11"/>
      <c r="B804" s="12"/>
      <c r="C804" s="12"/>
      <c r="D804" s="12"/>
      <c r="E804" s="12"/>
      <c r="F804" s="12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11"/>
      <c r="B805" s="12"/>
      <c r="C805" s="12"/>
      <c r="D805" s="12"/>
      <c r="E805" s="12"/>
      <c r="F805" s="12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11"/>
      <c r="B806" s="12"/>
      <c r="C806" s="12"/>
      <c r="D806" s="12"/>
      <c r="E806" s="12"/>
      <c r="F806" s="12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11"/>
      <c r="B807" s="12"/>
      <c r="C807" s="12"/>
      <c r="D807" s="12"/>
      <c r="E807" s="12"/>
      <c r="F807" s="12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11"/>
      <c r="B808" s="12"/>
      <c r="C808" s="12"/>
      <c r="D808" s="12"/>
      <c r="E808" s="12"/>
      <c r="F808" s="12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11"/>
      <c r="B809" s="12"/>
      <c r="C809" s="12"/>
      <c r="D809" s="12"/>
      <c r="E809" s="12"/>
      <c r="F809" s="12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11"/>
      <c r="B810" s="12"/>
      <c r="C810" s="12"/>
      <c r="D810" s="12"/>
      <c r="E810" s="12"/>
      <c r="F810" s="12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11"/>
      <c r="B811" s="12"/>
      <c r="C811" s="12"/>
      <c r="D811" s="12"/>
      <c r="E811" s="12"/>
      <c r="F811" s="12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11"/>
      <c r="B812" s="12"/>
      <c r="C812" s="12"/>
      <c r="D812" s="12"/>
      <c r="E812" s="12"/>
      <c r="F812" s="12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11"/>
      <c r="B813" s="12"/>
      <c r="C813" s="12"/>
      <c r="D813" s="12"/>
      <c r="E813" s="12"/>
      <c r="F813" s="12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11"/>
      <c r="B814" s="12"/>
      <c r="C814" s="12"/>
      <c r="D814" s="12"/>
      <c r="E814" s="12"/>
      <c r="F814" s="12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11"/>
      <c r="B815" s="12"/>
      <c r="C815" s="12"/>
      <c r="D815" s="12"/>
      <c r="E815" s="12"/>
      <c r="F815" s="12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11"/>
      <c r="B816" s="12"/>
      <c r="C816" s="12"/>
      <c r="D816" s="12"/>
      <c r="E816" s="12"/>
      <c r="F816" s="12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11"/>
      <c r="B817" s="12"/>
      <c r="C817" s="12"/>
      <c r="D817" s="12"/>
      <c r="E817" s="12"/>
      <c r="F817" s="12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11"/>
      <c r="B818" s="12"/>
      <c r="C818" s="12"/>
      <c r="D818" s="12"/>
      <c r="E818" s="12"/>
      <c r="F818" s="12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11"/>
      <c r="B819" s="12"/>
      <c r="C819" s="12"/>
      <c r="D819" s="12"/>
      <c r="E819" s="12"/>
      <c r="F819" s="12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11"/>
      <c r="B820" s="12"/>
      <c r="C820" s="12"/>
      <c r="D820" s="12"/>
      <c r="E820" s="12"/>
      <c r="F820" s="12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11"/>
      <c r="B821" s="12"/>
      <c r="C821" s="12"/>
      <c r="D821" s="12"/>
      <c r="E821" s="12"/>
      <c r="F821" s="12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11"/>
      <c r="B822" s="12"/>
      <c r="C822" s="12"/>
      <c r="D822" s="12"/>
      <c r="E822" s="12"/>
      <c r="F822" s="12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11"/>
      <c r="B823" s="12"/>
      <c r="C823" s="12"/>
      <c r="D823" s="12"/>
      <c r="E823" s="12"/>
      <c r="F823" s="12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11"/>
      <c r="B824" s="12"/>
      <c r="C824" s="12"/>
      <c r="D824" s="12"/>
      <c r="E824" s="12"/>
      <c r="F824" s="12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11"/>
      <c r="B825" s="12"/>
      <c r="C825" s="12"/>
      <c r="D825" s="12"/>
      <c r="E825" s="12"/>
      <c r="F825" s="12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11"/>
      <c r="B826" s="12"/>
      <c r="C826" s="12"/>
      <c r="D826" s="12"/>
      <c r="E826" s="12"/>
      <c r="F826" s="12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11"/>
      <c r="B827" s="12"/>
      <c r="C827" s="12"/>
      <c r="D827" s="12"/>
      <c r="E827" s="12"/>
      <c r="F827" s="12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11"/>
      <c r="B828" s="12"/>
      <c r="C828" s="12"/>
      <c r="D828" s="12"/>
      <c r="E828" s="12"/>
      <c r="F828" s="12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11"/>
      <c r="B829" s="12"/>
      <c r="C829" s="12"/>
      <c r="D829" s="12"/>
      <c r="E829" s="12"/>
      <c r="F829" s="12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11"/>
      <c r="B830" s="12"/>
      <c r="C830" s="12"/>
      <c r="D830" s="12"/>
      <c r="E830" s="12"/>
      <c r="F830" s="12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11"/>
      <c r="B831" s="12"/>
      <c r="C831" s="12"/>
      <c r="D831" s="12"/>
      <c r="E831" s="12"/>
      <c r="F831" s="12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11"/>
      <c r="B832" s="12"/>
      <c r="C832" s="12"/>
      <c r="D832" s="12"/>
      <c r="E832" s="12"/>
      <c r="F832" s="12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11"/>
      <c r="B833" s="12"/>
      <c r="C833" s="12"/>
      <c r="D833" s="12"/>
      <c r="E833" s="12"/>
      <c r="F833" s="12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11"/>
      <c r="B834" s="12"/>
      <c r="C834" s="12"/>
      <c r="D834" s="12"/>
      <c r="E834" s="12"/>
      <c r="F834" s="12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11"/>
      <c r="B835" s="12"/>
      <c r="C835" s="12"/>
      <c r="D835" s="12"/>
      <c r="E835" s="12"/>
      <c r="F835" s="12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11"/>
      <c r="B836" s="12"/>
      <c r="C836" s="12"/>
      <c r="D836" s="12"/>
      <c r="E836" s="12"/>
      <c r="F836" s="12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11"/>
      <c r="B837" s="12"/>
      <c r="C837" s="12"/>
      <c r="D837" s="12"/>
      <c r="E837" s="12"/>
      <c r="F837" s="12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11"/>
      <c r="B838" s="12"/>
      <c r="C838" s="12"/>
      <c r="D838" s="12"/>
      <c r="E838" s="12"/>
      <c r="F838" s="12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11"/>
      <c r="B839" s="12"/>
      <c r="C839" s="12"/>
      <c r="D839" s="12"/>
      <c r="E839" s="12"/>
      <c r="F839" s="12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11"/>
      <c r="B840" s="12"/>
      <c r="C840" s="12"/>
      <c r="D840" s="12"/>
      <c r="E840" s="12"/>
      <c r="F840" s="12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11"/>
      <c r="B841" s="12"/>
      <c r="C841" s="12"/>
      <c r="D841" s="12"/>
      <c r="E841" s="12"/>
      <c r="F841" s="12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11"/>
      <c r="B842" s="12"/>
      <c r="C842" s="12"/>
      <c r="D842" s="12"/>
      <c r="E842" s="12"/>
      <c r="F842" s="12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11"/>
      <c r="B843" s="12"/>
      <c r="C843" s="12"/>
      <c r="D843" s="12"/>
      <c r="E843" s="12"/>
      <c r="F843" s="12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11"/>
      <c r="B844" s="12"/>
      <c r="C844" s="12"/>
      <c r="D844" s="12"/>
      <c r="E844" s="12"/>
      <c r="F844" s="12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11"/>
      <c r="B845" s="12"/>
      <c r="C845" s="12"/>
      <c r="D845" s="12"/>
      <c r="E845" s="12"/>
      <c r="F845" s="12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11"/>
      <c r="B846" s="12"/>
      <c r="C846" s="12"/>
      <c r="D846" s="12"/>
      <c r="E846" s="12"/>
      <c r="F846" s="12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11"/>
      <c r="B847" s="12"/>
      <c r="C847" s="12"/>
      <c r="D847" s="12"/>
      <c r="E847" s="12"/>
      <c r="F847" s="12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11"/>
      <c r="B848" s="12"/>
      <c r="C848" s="12"/>
      <c r="D848" s="12"/>
      <c r="E848" s="12"/>
      <c r="F848" s="12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11"/>
      <c r="B849" s="12"/>
      <c r="C849" s="12"/>
      <c r="D849" s="12"/>
      <c r="E849" s="12"/>
      <c r="F849" s="12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11"/>
      <c r="B850" s="12"/>
      <c r="C850" s="12"/>
      <c r="D850" s="12"/>
      <c r="E850" s="12"/>
      <c r="F850" s="12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11"/>
      <c r="B851" s="12"/>
      <c r="C851" s="12"/>
      <c r="D851" s="12"/>
      <c r="E851" s="12"/>
      <c r="F851" s="12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11"/>
      <c r="B852" s="12"/>
      <c r="C852" s="12"/>
      <c r="D852" s="12"/>
      <c r="E852" s="12"/>
      <c r="F852" s="12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11"/>
      <c r="B853" s="12"/>
      <c r="C853" s="12"/>
      <c r="D853" s="12"/>
      <c r="E853" s="12"/>
      <c r="F853" s="12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11"/>
      <c r="B854" s="12"/>
      <c r="C854" s="12"/>
      <c r="D854" s="12"/>
      <c r="E854" s="12"/>
      <c r="F854" s="12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11"/>
      <c r="B855" s="12"/>
      <c r="C855" s="12"/>
      <c r="D855" s="12"/>
      <c r="E855" s="12"/>
      <c r="F855" s="12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11"/>
      <c r="B856" s="12"/>
      <c r="C856" s="12"/>
      <c r="D856" s="12"/>
      <c r="E856" s="12"/>
      <c r="F856" s="12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11"/>
      <c r="B857" s="12"/>
      <c r="C857" s="12"/>
      <c r="D857" s="12"/>
      <c r="E857" s="12"/>
      <c r="F857" s="12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11"/>
      <c r="B858" s="12"/>
      <c r="C858" s="12"/>
      <c r="D858" s="12"/>
      <c r="E858" s="12"/>
      <c r="F858" s="12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11"/>
      <c r="B859" s="12"/>
      <c r="C859" s="12"/>
      <c r="D859" s="12"/>
      <c r="E859" s="12"/>
      <c r="F859" s="12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11"/>
      <c r="B860" s="12"/>
      <c r="C860" s="12"/>
      <c r="D860" s="12"/>
      <c r="E860" s="12"/>
      <c r="F860" s="12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11"/>
      <c r="B861" s="12"/>
      <c r="C861" s="12"/>
      <c r="D861" s="12"/>
      <c r="E861" s="12"/>
      <c r="F861" s="12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11"/>
      <c r="B862" s="12"/>
      <c r="C862" s="12"/>
      <c r="D862" s="12"/>
      <c r="E862" s="12"/>
      <c r="F862" s="12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11"/>
      <c r="B863" s="12"/>
      <c r="C863" s="12"/>
      <c r="D863" s="12"/>
      <c r="E863" s="12"/>
      <c r="F863" s="12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11"/>
      <c r="B864" s="12"/>
      <c r="C864" s="12"/>
      <c r="D864" s="12"/>
      <c r="E864" s="12"/>
      <c r="F864" s="12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11"/>
      <c r="B865" s="12"/>
      <c r="C865" s="12"/>
      <c r="D865" s="12"/>
      <c r="E865" s="12"/>
      <c r="F865" s="12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11"/>
      <c r="B866" s="12"/>
      <c r="C866" s="12"/>
      <c r="D866" s="12"/>
      <c r="E866" s="12"/>
      <c r="F866" s="12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11"/>
      <c r="B867" s="12"/>
      <c r="C867" s="12"/>
      <c r="D867" s="12"/>
      <c r="E867" s="12"/>
      <c r="F867" s="12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11"/>
      <c r="B868" s="12"/>
      <c r="C868" s="12"/>
      <c r="D868" s="12"/>
      <c r="E868" s="12"/>
      <c r="F868" s="12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11"/>
      <c r="B869" s="12"/>
      <c r="C869" s="12"/>
      <c r="D869" s="12"/>
      <c r="E869" s="12"/>
      <c r="F869" s="12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11"/>
      <c r="B870" s="12"/>
      <c r="C870" s="12"/>
      <c r="D870" s="12"/>
      <c r="E870" s="12"/>
      <c r="F870" s="12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11"/>
      <c r="B871" s="12"/>
      <c r="C871" s="12"/>
      <c r="D871" s="12"/>
      <c r="E871" s="12"/>
      <c r="F871" s="12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11"/>
      <c r="B872" s="12"/>
      <c r="C872" s="12"/>
      <c r="D872" s="12"/>
      <c r="E872" s="12"/>
      <c r="F872" s="12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11"/>
      <c r="B873" s="12"/>
      <c r="C873" s="12"/>
      <c r="D873" s="12"/>
      <c r="E873" s="12"/>
      <c r="F873" s="12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11"/>
      <c r="B874" s="12"/>
      <c r="C874" s="12"/>
      <c r="D874" s="12"/>
      <c r="E874" s="12"/>
      <c r="F874" s="12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11"/>
      <c r="B875" s="12"/>
      <c r="C875" s="12"/>
      <c r="D875" s="12"/>
      <c r="E875" s="12"/>
      <c r="F875" s="12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11"/>
      <c r="B876" s="12"/>
      <c r="C876" s="12"/>
      <c r="D876" s="12"/>
      <c r="E876" s="12"/>
      <c r="F876" s="12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11"/>
      <c r="B877" s="12"/>
      <c r="C877" s="12"/>
      <c r="D877" s="12"/>
      <c r="E877" s="12"/>
      <c r="F877" s="12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11"/>
      <c r="B878" s="12"/>
      <c r="C878" s="12"/>
      <c r="D878" s="12"/>
      <c r="E878" s="12"/>
      <c r="F878" s="12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11"/>
      <c r="B879" s="12"/>
      <c r="C879" s="12"/>
      <c r="D879" s="12"/>
      <c r="E879" s="12"/>
      <c r="F879" s="12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11"/>
      <c r="B880" s="12"/>
      <c r="C880" s="12"/>
      <c r="D880" s="12"/>
      <c r="E880" s="12"/>
      <c r="F880" s="12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11"/>
      <c r="B881" s="12"/>
      <c r="C881" s="12"/>
      <c r="D881" s="12"/>
      <c r="E881" s="12"/>
      <c r="F881" s="12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11"/>
      <c r="B882" s="12"/>
      <c r="C882" s="12"/>
      <c r="D882" s="12"/>
      <c r="E882" s="12"/>
      <c r="F882" s="12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11"/>
      <c r="B883" s="12"/>
      <c r="C883" s="12"/>
      <c r="D883" s="12"/>
      <c r="E883" s="12"/>
      <c r="F883" s="12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11"/>
      <c r="B884" s="12"/>
      <c r="C884" s="12"/>
      <c r="D884" s="12"/>
      <c r="E884" s="12"/>
      <c r="F884" s="12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11"/>
      <c r="B885" s="12"/>
      <c r="C885" s="12"/>
      <c r="D885" s="12"/>
      <c r="E885" s="12"/>
      <c r="F885" s="12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11"/>
      <c r="B886" s="12"/>
      <c r="C886" s="12"/>
      <c r="D886" s="12"/>
      <c r="E886" s="12"/>
      <c r="F886" s="12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11"/>
      <c r="B887" s="12"/>
      <c r="C887" s="12"/>
      <c r="D887" s="12"/>
      <c r="E887" s="12"/>
      <c r="F887" s="12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11"/>
      <c r="B888" s="12"/>
      <c r="C888" s="12"/>
      <c r="D888" s="12"/>
      <c r="E888" s="12"/>
      <c r="F888" s="12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11"/>
      <c r="B889" s="12"/>
      <c r="C889" s="12"/>
      <c r="D889" s="12"/>
      <c r="E889" s="12"/>
      <c r="F889" s="12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11"/>
      <c r="B890" s="12"/>
      <c r="C890" s="12"/>
      <c r="D890" s="12"/>
      <c r="E890" s="12"/>
      <c r="F890" s="12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11"/>
      <c r="B891" s="12"/>
      <c r="C891" s="12"/>
      <c r="D891" s="12"/>
      <c r="E891" s="12"/>
      <c r="F891" s="12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11"/>
      <c r="B892" s="12"/>
      <c r="C892" s="12"/>
      <c r="D892" s="12"/>
      <c r="E892" s="12"/>
      <c r="F892" s="12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11"/>
      <c r="B893" s="12"/>
      <c r="C893" s="12"/>
      <c r="D893" s="12"/>
      <c r="E893" s="12"/>
      <c r="F893" s="12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11"/>
      <c r="B894" s="12"/>
      <c r="C894" s="12"/>
      <c r="D894" s="12"/>
      <c r="E894" s="12"/>
      <c r="F894" s="12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11"/>
      <c r="B895" s="12"/>
      <c r="C895" s="12"/>
      <c r="D895" s="12"/>
      <c r="E895" s="12"/>
      <c r="F895" s="12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11"/>
      <c r="B896" s="12"/>
      <c r="C896" s="12"/>
      <c r="D896" s="12"/>
      <c r="E896" s="12"/>
      <c r="F896" s="12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11"/>
      <c r="B897" s="12"/>
      <c r="C897" s="12"/>
      <c r="D897" s="12"/>
      <c r="E897" s="12"/>
      <c r="F897" s="12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11"/>
      <c r="B898" s="12"/>
      <c r="C898" s="12"/>
      <c r="D898" s="12"/>
      <c r="E898" s="12"/>
      <c r="F898" s="12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11"/>
      <c r="B899" s="12"/>
      <c r="C899" s="12"/>
      <c r="D899" s="12"/>
      <c r="E899" s="12"/>
      <c r="F899" s="12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11"/>
      <c r="B900" s="12"/>
      <c r="C900" s="12"/>
      <c r="D900" s="12"/>
      <c r="E900" s="12"/>
      <c r="F900" s="12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11"/>
      <c r="B901" s="12"/>
      <c r="C901" s="12"/>
      <c r="D901" s="12"/>
      <c r="E901" s="12"/>
      <c r="F901" s="12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11"/>
      <c r="B902" s="12"/>
      <c r="C902" s="12"/>
      <c r="D902" s="12"/>
      <c r="E902" s="12"/>
      <c r="F902" s="12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11"/>
      <c r="B903" s="12"/>
      <c r="C903" s="12"/>
      <c r="D903" s="12"/>
      <c r="E903" s="12"/>
      <c r="F903" s="12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11"/>
      <c r="B904" s="12"/>
      <c r="C904" s="12"/>
      <c r="D904" s="12"/>
      <c r="E904" s="12"/>
      <c r="F904" s="12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11"/>
      <c r="B905" s="12"/>
      <c r="C905" s="12"/>
      <c r="D905" s="12"/>
      <c r="E905" s="12"/>
      <c r="F905" s="12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11"/>
      <c r="B906" s="12"/>
      <c r="C906" s="12"/>
      <c r="D906" s="12"/>
      <c r="E906" s="12"/>
      <c r="F906" s="12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11"/>
      <c r="B907" s="12"/>
      <c r="C907" s="12"/>
      <c r="D907" s="12"/>
      <c r="E907" s="12"/>
      <c r="F907" s="12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11"/>
      <c r="B908" s="12"/>
      <c r="C908" s="12"/>
      <c r="D908" s="12"/>
      <c r="E908" s="12"/>
      <c r="F908" s="12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11"/>
      <c r="B909" s="12"/>
      <c r="C909" s="12"/>
      <c r="D909" s="12"/>
      <c r="E909" s="12"/>
      <c r="F909" s="12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11"/>
      <c r="B910" s="12"/>
      <c r="C910" s="12"/>
      <c r="D910" s="12"/>
      <c r="E910" s="12"/>
      <c r="F910" s="12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11"/>
      <c r="B911" s="12"/>
      <c r="C911" s="12"/>
      <c r="D911" s="12"/>
      <c r="E911" s="12"/>
      <c r="F911" s="12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11"/>
      <c r="B912" s="12"/>
      <c r="C912" s="12"/>
      <c r="D912" s="12"/>
      <c r="E912" s="12"/>
      <c r="F912" s="12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11"/>
      <c r="B913" s="12"/>
      <c r="C913" s="12"/>
      <c r="D913" s="12"/>
      <c r="E913" s="12"/>
      <c r="F913" s="12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11"/>
      <c r="B914" s="12"/>
      <c r="C914" s="12"/>
      <c r="D914" s="12"/>
      <c r="E914" s="12"/>
      <c r="F914" s="12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11"/>
      <c r="B915" s="12"/>
      <c r="C915" s="12"/>
      <c r="D915" s="12"/>
      <c r="E915" s="12"/>
      <c r="F915" s="12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11"/>
      <c r="B916" s="12"/>
      <c r="C916" s="12"/>
      <c r="D916" s="12"/>
      <c r="E916" s="12"/>
      <c r="F916" s="12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11"/>
      <c r="B917" s="12"/>
      <c r="C917" s="12"/>
      <c r="D917" s="12"/>
      <c r="E917" s="12"/>
      <c r="F917" s="12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11"/>
      <c r="B918" s="12"/>
      <c r="C918" s="12"/>
      <c r="D918" s="12"/>
      <c r="E918" s="12"/>
      <c r="F918" s="12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11"/>
      <c r="B919" s="12"/>
      <c r="C919" s="12"/>
      <c r="D919" s="12"/>
      <c r="E919" s="12"/>
      <c r="F919" s="12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11"/>
      <c r="B920" s="12"/>
      <c r="C920" s="12"/>
      <c r="D920" s="12"/>
      <c r="E920" s="12"/>
      <c r="F920" s="12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11"/>
      <c r="B921" s="12"/>
      <c r="C921" s="12"/>
      <c r="D921" s="12"/>
      <c r="E921" s="12"/>
      <c r="F921" s="12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11"/>
      <c r="B922" s="12"/>
      <c r="C922" s="12"/>
      <c r="D922" s="12"/>
      <c r="E922" s="12"/>
      <c r="F922" s="12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11"/>
      <c r="B923" s="12"/>
      <c r="C923" s="12"/>
      <c r="D923" s="12"/>
      <c r="E923" s="12"/>
      <c r="F923" s="12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11"/>
      <c r="B924" s="12"/>
      <c r="C924" s="12"/>
      <c r="D924" s="12"/>
      <c r="E924" s="12"/>
      <c r="F924" s="12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11"/>
      <c r="B925" s="12"/>
      <c r="C925" s="12"/>
      <c r="D925" s="12"/>
      <c r="E925" s="12"/>
      <c r="F925" s="12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11"/>
      <c r="B926" s="12"/>
      <c r="C926" s="12"/>
      <c r="D926" s="12"/>
      <c r="E926" s="12"/>
      <c r="F926" s="12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11"/>
      <c r="B927" s="12"/>
      <c r="C927" s="12"/>
      <c r="D927" s="12"/>
      <c r="E927" s="12"/>
      <c r="F927" s="12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11"/>
      <c r="B928" s="12"/>
      <c r="C928" s="12"/>
      <c r="D928" s="12"/>
      <c r="E928" s="12"/>
      <c r="F928" s="12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11"/>
      <c r="B929" s="12"/>
      <c r="C929" s="12"/>
      <c r="D929" s="12"/>
      <c r="E929" s="12"/>
      <c r="F929" s="12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11"/>
      <c r="B930" s="12"/>
      <c r="C930" s="12"/>
      <c r="D930" s="12"/>
      <c r="E930" s="12"/>
      <c r="F930" s="12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11"/>
      <c r="B931" s="12"/>
      <c r="C931" s="12"/>
      <c r="D931" s="12"/>
      <c r="E931" s="12"/>
      <c r="F931" s="12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11"/>
      <c r="B932" s="12"/>
      <c r="C932" s="12"/>
      <c r="D932" s="12"/>
      <c r="E932" s="12"/>
      <c r="F932" s="12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11"/>
      <c r="B933" s="12"/>
      <c r="C933" s="12"/>
      <c r="D933" s="12"/>
      <c r="E933" s="12"/>
      <c r="F933" s="12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11"/>
      <c r="B934" s="12"/>
      <c r="C934" s="12"/>
      <c r="D934" s="12"/>
      <c r="E934" s="12"/>
      <c r="F934" s="12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11"/>
      <c r="B935" s="12"/>
      <c r="C935" s="12"/>
      <c r="D935" s="12"/>
      <c r="E935" s="12"/>
      <c r="F935" s="12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11"/>
      <c r="B936" s="12"/>
      <c r="C936" s="12"/>
      <c r="D936" s="12"/>
      <c r="E936" s="12"/>
      <c r="F936" s="12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11"/>
      <c r="B937" s="12"/>
      <c r="C937" s="12"/>
      <c r="D937" s="12"/>
      <c r="E937" s="12"/>
      <c r="F937" s="12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11"/>
      <c r="B938" s="12"/>
      <c r="C938" s="12"/>
      <c r="D938" s="12"/>
      <c r="E938" s="12"/>
      <c r="F938" s="12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11"/>
      <c r="B939" s="12"/>
      <c r="C939" s="12"/>
      <c r="D939" s="12"/>
      <c r="E939" s="12"/>
      <c r="F939" s="12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11"/>
      <c r="B940" s="12"/>
      <c r="C940" s="12"/>
      <c r="D940" s="12"/>
      <c r="E940" s="12"/>
      <c r="F940" s="12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11"/>
      <c r="B941" s="12"/>
      <c r="C941" s="12"/>
      <c r="D941" s="12"/>
      <c r="E941" s="12"/>
      <c r="F941" s="12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11"/>
      <c r="B942" s="12"/>
      <c r="C942" s="12"/>
      <c r="D942" s="12"/>
      <c r="E942" s="12"/>
      <c r="F942" s="12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11"/>
      <c r="B943" s="12"/>
      <c r="C943" s="12"/>
      <c r="D943" s="12"/>
      <c r="E943" s="12"/>
      <c r="F943" s="12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11"/>
      <c r="B944" s="12"/>
      <c r="C944" s="12"/>
      <c r="D944" s="12"/>
      <c r="E944" s="12"/>
      <c r="F944" s="12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11"/>
      <c r="B945" s="12"/>
      <c r="C945" s="12"/>
      <c r="D945" s="12"/>
      <c r="E945" s="12"/>
      <c r="F945" s="12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11"/>
      <c r="B946" s="12"/>
      <c r="C946" s="12"/>
      <c r="D946" s="12"/>
      <c r="E946" s="12"/>
      <c r="F946" s="12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11"/>
      <c r="B947" s="12"/>
      <c r="C947" s="12"/>
      <c r="D947" s="12"/>
      <c r="E947" s="12"/>
      <c r="F947" s="12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11"/>
      <c r="B948" s="12"/>
      <c r="C948" s="12"/>
      <c r="D948" s="12"/>
      <c r="E948" s="12"/>
      <c r="F948" s="12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11"/>
      <c r="B949" s="12"/>
      <c r="C949" s="12"/>
      <c r="D949" s="12"/>
      <c r="E949" s="12"/>
      <c r="F949" s="12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11"/>
      <c r="B950" s="12"/>
      <c r="C950" s="12"/>
      <c r="D950" s="12"/>
      <c r="E950" s="12"/>
      <c r="F950" s="12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11"/>
      <c r="B951" s="12"/>
      <c r="C951" s="12"/>
      <c r="D951" s="12"/>
      <c r="E951" s="12"/>
      <c r="F951" s="12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11"/>
      <c r="B952" s="12"/>
      <c r="C952" s="12"/>
      <c r="D952" s="12"/>
      <c r="E952" s="12"/>
      <c r="F952" s="12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11"/>
      <c r="B953" s="12"/>
      <c r="C953" s="12"/>
      <c r="D953" s="12"/>
      <c r="E953" s="12"/>
      <c r="F953" s="12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11"/>
      <c r="B954" s="12"/>
      <c r="C954" s="12"/>
      <c r="D954" s="12"/>
      <c r="E954" s="12"/>
      <c r="F954" s="12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11"/>
      <c r="B955" s="12"/>
      <c r="C955" s="12"/>
      <c r="D955" s="12"/>
      <c r="E955" s="12"/>
      <c r="F955" s="12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11"/>
      <c r="B956" s="12"/>
      <c r="C956" s="12"/>
      <c r="D956" s="12"/>
      <c r="E956" s="12"/>
      <c r="F956" s="12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11"/>
      <c r="B957" s="12"/>
      <c r="C957" s="12"/>
      <c r="D957" s="12"/>
      <c r="E957" s="12"/>
      <c r="F957" s="12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11"/>
      <c r="B958" s="12"/>
      <c r="C958" s="12"/>
      <c r="D958" s="12"/>
      <c r="E958" s="12"/>
      <c r="F958" s="12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11"/>
      <c r="B959" s="12"/>
      <c r="C959" s="12"/>
      <c r="D959" s="12"/>
      <c r="E959" s="12"/>
      <c r="F959" s="12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11"/>
      <c r="B960" s="12"/>
      <c r="C960" s="12"/>
      <c r="D960" s="12"/>
      <c r="E960" s="12"/>
      <c r="F960" s="12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11"/>
      <c r="B961" s="12"/>
      <c r="C961" s="12"/>
      <c r="D961" s="12"/>
      <c r="E961" s="12"/>
      <c r="F961" s="12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11"/>
      <c r="B962" s="12"/>
      <c r="C962" s="12"/>
      <c r="D962" s="12"/>
      <c r="E962" s="12"/>
      <c r="F962" s="12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11"/>
      <c r="B963" s="12"/>
      <c r="C963" s="12"/>
      <c r="D963" s="12"/>
      <c r="E963" s="12"/>
      <c r="F963" s="12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11"/>
      <c r="B964" s="12"/>
      <c r="C964" s="12"/>
      <c r="D964" s="12"/>
      <c r="E964" s="12"/>
      <c r="F964" s="12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11"/>
      <c r="B965" s="12"/>
      <c r="C965" s="12"/>
      <c r="D965" s="12"/>
      <c r="E965" s="12"/>
      <c r="F965" s="12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11"/>
      <c r="B966" s="12"/>
      <c r="C966" s="12"/>
      <c r="D966" s="12"/>
      <c r="E966" s="12"/>
      <c r="F966" s="12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11"/>
      <c r="B967" s="12"/>
      <c r="C967" s="12"/>
      <c r="D967" s="12"/>
      <c r="E967" s="12"/>
      <c r="F967" s="12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11"/>
      <c r="B968" s="12"/>
      <c r="C968" s="12"/>
      <c r="D968" s="12"/>
      <c r="E968" s="12"/>
      <c r="F968" s="12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11"/>
      <c r="B969" s="12"/>
      <c r="C969" s="12"/>
      <c r="D969" s="12"/>
      <c r="E969" s="12"/>
      <c r="F969" s="12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11"/>
      <c r="B970" s="12"/>
      <c r="C970" s="12"/>
      <c r="D970" s="12"/>
      <c r="E970" s="12"/>
      <c r="F970" s="12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11"/>
      <c r="B971" s="12"/>
      <c r="C971" s="12"/>
      <c r="D971" s="12"/>
      <c r="E971" s="12"/>
      <c r="F971" s="12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11"/>
      <c r="B972" s="12"/>
      <c r="C972" s="12"/>
      <c r="D972" s="12"/>
      <c r="E972" s="12"/>
      <c r="F972" s="12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11"/>
      <c r="B973" s="12"/>
      <c r="C973" s="12"/>
      <c r="D973" s="12"/>
      <c r="E973" s="12"/>
      <c r="F973" s="12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11"/>
      <c r="B974" s="12"/>
      <c r="C974" s="12"/>
      <c r="D974" s="12"/>
      <c r="E974" s="12"/>
      <c r="F974" s="12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11"/>
      <c r="B975" s="12"/>
      <c r="C975" s="12"/>
      <c r="D975" s="12"/>
      <c r="E975" s="12"/>
      <c r="F975" s="12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11"/>
      <c r="B976" s="12"/>
      <c r="C976" s="12"/>
      <c r="D976" s="12"/>
      <c r="E976" s="12"/>
      <c r="F976" s="12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11"/>
      <c r="B977" s="12"/>
      <c r="C977" s="12"/>
      <c r="D977" s="12"/>
      <c r="E977" s="12"/>
      <c r="F977" s="12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11"/>
      <c r="B978" s="12"/>
      <c r="C978" s="12"/>
      <c r="D978" s="12"/>
      <c r="E978" s="12"/>
      <c r="F978" s="12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11"/>
      <c r="B979" s="12"/>
      <c r="C979" s="12"/>
      <c r="D979" s="12"/>
      <c r="E979" s="12"/>
      <c r="F979" s="12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11"/>
      <c r="B980" s="12"/>
      <c r="C980" s="12"/>
      <c r="D980" s="12"/>
      <c r="E980" s="12"/>
      <c r="F980" s="12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11"/>
      <c r="B981" s="12"/>
      <c r="C981" s="12"/>
      <c r="D981" s="12"/>
      <c r="E981" s="12"/>
      <c r="F981" s="12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11"/>
      <c r="B982" s="12"/>
      <c r="C982" s="12"/>
      <c r="D982" s="12"/>
      <c r="E982" s="12"/>
      <c r="F982" s="12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11"/>
      <c r="B983" s="12"/>
      <c r="C983" s="12"/>
      <c r="D983" s="12"/>
      <c r="E983" s="12"/>
      <c r="F983" s="12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11"/>
      <c r="B984" s="12"/>
      <c r="C984" s="12"/>
      <c r="D984" s="12"/>
      <c r="E984" s="12"/>
      <c r="F984" s="12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11"/>
      <c r="B985" s="12"/>
      <c r="C985" s="12"/>
      <c r="D985" s="12"/>
      <c r="E985" s="12"/>
      <c r="F985" s="12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11"/>
      <c r="B986" s="12"/>
      <c r="C986" s="12"/>
      <c r="D986" s="12"/>
      <c r="E986" s="12"/>
      <c r="F986" s="12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11"/>
      <c r="B987" s="12"/>
      <c r="C987" s="12"/>
      <c r="D987" s="12"/>
      <c r="E987" s="12"/>
      <c r="F987" s="12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11"/>
      <c r="B988" s="12"/>
      <c r="C988" s="12"/>
      <c r="D988" s="12"/>
      <c r="E988" s="12"/>
      <c r="F988" s="12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11"/>
      <c r="B989" s="12"/>
      <c r="C989" s="12"/>
      <c r="D989" s="12"/>
      <c r="E989" s="12"/>
      <c r="F989" s="12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11"/>
      <c r="B990" s="12"/>
      <c r="C990" s="12"/>
      <c r="D990" s="12"/>
      <c r="E990" s="12"/>
      <c r="F990" s="12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11"/>
      <c r="B991" s="12"/>
      <c r="C991" s="12"/>
      <c r="D991" s="12"/>
      <c r="E991" s="12"/>
      <c r="F991" s="12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11"/>
      <c r="B992" s="12"/>
      <c r="C992" s="12"/>
      <c r="D992" s="12"/>
      <c r="E992" s="12"/>
      <c r="F992" s="12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11"/>
      <c r="B993" s="12"/>
      <c r="C993" s="12"/>
      <c r="D993" s="12"/>
      <c r="E993" s="12"/>
      <c r="F993" s="12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11"/>
      <c r="B994" s="12"/>
      <c r="C994" s="12"/>
      <c r="D994" s="12"/>
      <c r="E994" s="12"/>
      <c r="F994" s="12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11"/>
      <c r="B995" s="12"/>
      <c r="C995" s="12"/>
      <c r="D995" s="12"/>
      <c r="E995" s="12"/>
      <c r="F995" s="12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11"/>
      <c r="B996" s="12"/>
      <c r="C996" s="12"/>
      <c r="D996" s="12"/>
      <c r="E996" s="12"/>
      <c r="F996" s="12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11"/>
      <c r="B997" s="12"/>
      <c r="C997" s="12"/>
      <c r="D997" s="12"/>
      <c r="E997" s="12"/>
      <c r="F997" s="12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11"/>
      <c r="B998" s="12"/>
      <c r="C998" s="12"/>
      <c r="D998" s="12"/>
      <c r="E998" s="12"/>
      <c r="F998" s="12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11"/>
      <c r="B999" s="12"/>
      <c r="C999" s="12"/>
      <c r="D999" s="12"/>
      <c r="E999" s="12"/>
      <c r="F999" s="12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11"/>
      <c r="B1000" s="12"/>
      <c r="C1000" s="12"/>
      <c r="D1000" s="12"/>
      <c r="E1000" s="12"/>
      <c r="F1000" s="12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11"/>
      <c r="B1001" s="12"/>
      <c r="C1001" s="12"/>
      <c r="D1001" s="12"/>
      <c r="E1001" s="12"/>
      <c r="F1001" s="12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11"/>
      <c r="B1002" s="12"/>
      <c r="C1002" s="12"/>
      <c r="D1002" s="12"/>
      <c r="E1002" s="12"/>
      <c r="F1002" s="12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11"/>
      <c r="B1003" s="12"/>
      <c r="C1003" s="12"/>
      <c r="D1003" s="12"/>
      <c r="E1003" s="12"/>
      <c r="F1003" s="12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11"/>
      <c r="B1004" s="12"/>
      <c r="C1004" s="12"/>
      <c r="D1004" s="12"/>
      <c r="E1004" s="12"/>
      <c r="F1004" s="12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11"/>
      <c r="B1005" s="12"/>
      <c r="C1005" s="12"/>
      <c r="D1005" s="12"/>
      <c r="E1005" s="12"/>
      <c r="F1005" s="12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11"/>
      <c r="B1006" s="12"/>
      <c r="C1006" s="12"/>
      <c r="D1006" s="12"/>
      <c r="E1006" s="12"/>
      <c r="F1006" s="12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11"/>
      <c r="B1007" s="12"/>
      <c r="C1007" s="12"/>
      <c r="D1007" s="12"/>
      <c r="E1007" s="12"/>
      <c r="F1007" s="12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11"/>
      <c r="B1008" s="12"/>
      <c r="C1008" s="12"/>
      <c r="D1008" s="12"/>
      <c r="E1008" s="12"/>
      <c r="F1008" s="12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11"/>
      <c r="B1009" s="12"/>
      <c r="C1009" s="12"/>
      <c r="D1009" s="12"/>
      <c r="E1009" s="12"/>
      <c r="F1009" s="12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11"/>
      <c r="B1010" s="12"/>
      <c r="C1010" s="12"/>
      <c r="D1010" s="12"/>
      <c r="E1010" s="12"/>
      <c r="F1010" s="12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11"/>
      <c r="B1011" s="12"/>
      <c r="C1011" s="12"/>
      <c r="D1011" s="12"/>
      <c r="E1011" s="12"/>
      <c r="F1011" s="12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11"/>
      <c r="B1012" s="12"/>
      <c r="C1012" s="12"/>
      <c r="D1012" s="12"/>
      <c r="E1012" s="12"/>
      <c r="F1012" s="12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11"/>
      <c r="B1013" s="12"/>
      <c r="C1013" s="12"/>
      <c r="D1013" s="12"/>
      <c r="E1013" s="12"/>
      <c r="F1013" s="12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11"/>
      <c r="B1014" s="12"/>
      <c r="C1014" s="12"/>
      <c r="D1014" s="12"/>
      <c r="E1014" s="12"/>
      <c r="F1014" s="12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</sheetData>
  <mergeCells count="2">
    <mergeCell ref="A1:C1"/>
    <mergeCell ref="D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0.0"/>
    <col customWidth="1" min="2" max="2" width="37.63"/>
    <col customWidth="1" min="3" max="3" width="35.13"/>
    <col customWidth="1" min="4" max="5" width="15.0"/>
    <col customWidth="1" min="6" max="6" width="29.88"/>
    <col customWidth="1" min="7" max="7" width="5.25"/>
    <col hidden="1" min="8" max="27" width="12.63"/>
  </cols>
  <sheetData>
    <row r="1">
      <c r="A1" s="13" t="s">
        <v>117</v>
      </c>
      <c r="B1" s="14"/>
      <c r="C1" s="14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8" t="s">
        <v>3</v>
      </c>
      <c r="B2" s="18" t="s">
        <v>4</v>
      </c>
      <c r="C2" s="18" t="s">
        <v>118</v>
      </c>
      <c r="D2" s="18" t="s">
        <v>119</v>
      </c>
      <c r="E2" s="18" t="s">
        <v>120</v>
      </c>
      <c r="F2" s="18" t="s">
        <v>121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>
      <c r="A3" s="19" t="s">
        <v>8</v>
      </c>
      <c r="B3" s="19" t="s">
        <v>13</v>
      </c>
      <c r="C3" s="19" t="s">
        <v>10</v>
      </c>
      <c r="D3" s="20">
        <v>50000.0</v>
      </c>
      <c r="E3" s="20" t="s">
        <v>122</v>
      </c>
      <c r="F3" s="21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>
      <c r="A4" s="19" t="s">
        <v>8</v>
      </c>
      <c r="B4" s="19" t="s">
        <v>13</v>
      </c>
      <c r="C4" s="19" t="s">
        <v>123</v>
      </c>
      <c r="D4" s="20">
        <v>1000.0</v>
      </c>
      <c r="E4" s="20" t="s">
        <v>122</v>
      </c>
      <c r="F4" s="21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>
      <c r="A5" s="19" t="s">
        <v>8</v>
      </c>
      <c r="B5" s="19" t="s">
        <v>13</v>
      </c>
      <c r="C5" s="19" t="s">
        <v>124</v>
      </c>
      <c r="D5" s="20">
        <v>1.0</v>
      </c>
      <c r="E5" s="20" t="s">
        <v>125</v>
      </c>
      <c r="F5" s="20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>
      <c r="A6" s="19" t="s">
        <v>8</v>
      </c>
      <c r="B6" s="19" t="s">
        <v>13</v>
      </c>
      <c r="C6" s="19" t="s">
        <v>126</v>
      </c>
      <c r="D6" s="20">
        <v>500.0</v>
      </c>
      <c r="E6" s="20" t="s">
        <v>122</v>
      </c>
      <c r="F6" s="20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>
      <c r="A7" s="19" t="s">
        <v>8</v>
      </c>
      <c r="B7" s="19" t="s">
        <v>13</v>
      </c>
      <c r="C7" s="19" t="s">
        <v>127</v>
      </c>
      <c r="D7" s="20"/>
      <c r="E7" s="20"/>
      <c r="F7" s="22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>
      <c r="A8" s="19" t="s">
        <v>8</v>
      </c>
      <c r="B8" s="19" t="s">
        <v>13</v>
      </c>
      <c r="C8" s="19" t="s">
        <v>128</v>
      </c>
      <c r="D8" s="20"/>
      <c r="E8" s="20"/>
      <c r="F8" s="22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>
      <c r="A9" s="19" t="s">
        <v>8</v>
      </c>
      <c r="B9" s="19" t="s">
        <v>14</v>
      </c>
      <c r="C9" s="19" t="s">
        <v>12</v>
      </c>
      <c r="D9" s="20">
        <v>50000.0</v>
      </c>
      <c r="E9" s="20" t="s">
        <v>122</v>
      </c>
      <c r="F9" s="21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>
      <c r="A10" s="19" t="s">
        <v>8</v>
      </c>
      <c r="B10" s="19" t="s">
        <v>14</v>
      </c>
      <c r="C10" s="19" t="s">
        <v>123</v>
      </c>
      <c r="D10" s="20">
        <v>1000.0</v>
      </c>
      <c r="E10" s="20" t="s">
        <v>122</v>
      </c>
      <c r="F10" s="21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>
      <c r="A11" s="19" t="s">
        <v>8</v>
      </c>
      <c r="B11" s="19" t="s">
        <v>14</v>
      </c>
      <c r="C11" s="19" t="s">
        <v>124</v>
      </c>
      <c r="D11" s="20">
        <v>1.0</v>
      </c>
      <c r="E11" s="20" t="s">
        <v>125</v>
      </c>
      <c r="F11" s="22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>
      <c r="A12" s="19" t="s">
        <v>8</v>
      </c>
      <c r="B12" s="19" t="s">
        <v>14</v>
      </c>
      <c r="C12" s="19" t="s">
        <v>126</v>
      </c>
      <c r="D12" s="20">
        <v>500.0</v>
      </c>
      <c r="E12" s="20" t="s">
        <v>122</v>
      </c>
      <c r="F12" s="22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>
      <c r="A13" s="19" t="s">
        <v>8</v>
      </c>
      <c r="B13" s="19" t="s">
        <v>14</v>
      </c>
      <c r="C13" s="19" t="s">
        <v>127</v>
      </c>
      <c r="D13" s="22"/>
      <c r="E13" s="22"/>
      <c r="F13" s="22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19" t="s">
        <v>8</v>
      </c>
      <c r="B14" s="19" t="s">
        <v>14</v>
      </c>
      <c r="C14" s="19" t="s">
        <v>128</v>
      </c>
      <c r="D14" s="22"/>
      <c r="E14" s="22"/>
      <c r="F14" s="22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19" t="s">
        <v>8</v>
      </c>
      <c r="B15" s="19" t="s">
        <v>17</v>
      </c>
      <c r="C15" s="19" t="s">
        <v>10</v>
      </c>
      <c r="D15" s="20">
        <v>50000.0</v>
      </c>
      <c r="E15" s="20" t="s">
        <v>122</v>
      </c>
      <c r="F15" s="21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>
      <c r="A16" s="19" t="s">
        <v>8</v>
      </c>
      <c r="B16" s="19" t="s">
        <v>17</v>
      </c>
      <c r="C16" s="19" t="s">
        <v>129</v>
      </c>
      <c r="D16" s="20">
        <v>6000.0</v>
      </c>
      <c r="E16" s="20" t="s">
        <v>130</v>
      </c>
      <c r="F16" s="21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>
      <c r="A17" s="19" t="s">
        <v>8</v>
      </c>
      <c r="B17" s="19" t="s">
        <v>17</v>
      </c>
      <c r="C17" s="19" t="s">
        <v>131</v>
      </c>
      <c r="D17" s="20">
        <v>2000.0</v>
      </c>
      <c r="E17" s="20" t="s">
        <v>122</v>
      </c>
      <c r="F17" s="22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>
      <c r="A18" s="19" t="s">
        <v>8</v>
      </c>
      <c r="B18" s="19" t="s">
        <v>17</v>
      </c>
      <c r="C18" s="19" t="s">
        <v>132</v>
      </c>
      <c r="D18" s="20">
        <v>250.0</v>
      </c>
      <c r="E18" s="20" t="s">
        <v>122</v>
      </c>
      <c r="F18" s="22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>
      <c r="A19" s="19" t="s">
        <v>8</v>
      </c>
      <c r="B19" s="19" t="s">
        <v>17</v>
      </c>
      <c r="C19" s="19" t="s">
        <v>133</v>
      </c>
      <c r="D19" s="20">
        <v>150.0</v>
      </c>
      <c r="E19" s="20" t="s">
        <v>122</v>
      </c>
      <c r="F19" s="22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>
      <c r="A20" s="19" t="s">
        <v>8</v>
      </c>
      <c r="B20" s="19" t="s">
        <v>17</v>
      </c>
      <c r="C20" s="19" t="s">
        <v>134</v>
      </c>
      <c r="D20" s="20">
        <v>1.0</v>
      </c>
      <c r="E20" s="20" t="s">
        <v>125</v>
      </c>
      <c r="F20" s="22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>
      <c r="A21" s="19" t="s">
        <v>8</v>
      </c>
      <c r="B21" s="19" t="s">
        <v>17</v>
      </c>
      <c r="C21" s="19" t="s">
        <v>124</v>
      </c>
      <c r="D21" s="20">
        <v>1.0</v>
      </c>
      <c r="E21" s="20" t="s">
        <v>125</v>
      </c>
      <c r="F21" s="22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19" t="s">
        <v>8</v>
      </c>
      <c r="B22" s="19" t="s">
        <v>17</v>
      </c>
      <c r="C22" s="19" t="s">
        <v>127</v>
      </c>
      <c r="D22" s="22"/>
      <c r="E22" s="22"/>
      <c r="F22" s="22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19" t="s">
        <v>8</v>
      </c>
      <c r="B23" s="19" t="s">
        <v>17</v>
      </c>
      <c r="C23" s="19" t="s">
        <v>135</v>
      </c>
      <c r="D23" s="22"/>
      <c r="E23" s="22"/>
      <c r="F23" s="22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19" t="s">
        <v>8</v>
      </c>
      <c r="B24" s="19" t="s">
        <v>17</v>
      </c>
      <c r="C24" s="19" t="s">
        <v>128</v>
      </c>
      <c r="D24" s="22"/>
      <c r="E24" s="22"/>
      <c r="F24" s="22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19" t="s">
        <v>8</v>
      </c>
      <c r="B25" s="19" t="s">
        <v>18</v>
      </c>
      <c r="C25" s="19" t="s">
        <v>12</v>
      </c>
      <c r="D25" s="20">
        <v>50000.0</v>
      </c>
      <c r="E25" s="20" t="s">
        <v>122</v>
      </c>
      <c r="F25" s="21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19" t="s">
        <v>8</v>
      </c>
      <c r="B26" s="19" t="s">
        <v>18</v>
      </c>
      <c r="C26" s="19" t="s">
        <v>129</v>
      </c>
      <c r="D26" s="20">
        <v>6000.0</v>
      </c>
      <c r="E26" s="20" t="s">
        <v>130</v>
      </c>
      <c r="F26" s="21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19" t="s">
        <v>8</v>
      </c>
      <c r="B27" s="19" t="s">
        <v>18</v>
      </c>
      <c r="C27" s="19" t="s">
        <v>131</v>
      </c>
      <c r="D27" s="20">
        <v>2000.0</v>
      </c>
      <c r="E27" s="20" t="s">
        <v>122</v>
      </c>
      <c r="F27" s="22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19" t="s">
        <v>8</v>
      </c>
      <c r="B28" s="19" t="s">
        <v>18</v>
      </c>
      <c r="C28" s="19" t="s">
        <v>132</v>
      </c>
      <c r="D28" s="20">
        <v>250.0</v>
      </c>
      <c r="E28" s="20" t="s">
        <v>122</v>
      </c>
      <c r="F28" s="22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19" t="s">
        <v>8</v>
      </c>
      <c r="B29" s="19" t="s">
        <v>18</v>
      </c>
      <c r="C29" s="19" t="s">
        <v>133</v>
      </c>
      <c r="D29" s="20">
        <v>150.0</v>
      </c>
      <c r="E29" s="20" t="s">
        <v>122</v>
      </c>
      <c r="F29" s="22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19" t="s">
        <v>8</v>
      </c>
      <c r="B30" s="19" t="s">
        <v>18</v>
      </c>
      <c r="C30" s="19" t="s">
        <v>134</v>
      </c>
      <c r="D30" s="20">
        <v>1.0</v>
      </c>
      <c r="E30" s="20" t="s">
        <v>125</v>
      </c>
      <c r="F30" s="22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19" t="s">
        <v>8</v>
      </c>
      <c r="B31" s="19" t="s">
        <v>18</v>
      </c>
      <c r="C31" s="19" t="s">
        <v>124</v>
      </c>
      <c r="D31" s="20">
        <v>1.0</v>
      </c>
      <c r="E31" s="20" t="s">
        <v>125</v>
      </c>
      <c r="F31" s="22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19" t="s">
        <v>8</v>
      </c>
      <c r="B32" s="19" t="s">
        <v>18</v>
      </c>
      <c r="C32" s="19" t="s">
        <v>127</v>
      </c>
      <c r="D32" s="22"/>
      <c r="E32" s="22"/>
      <c r="F32" s="22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19" t="s">
        <v>8</v>
      </c>
      <c r="B33" s="19" t="s">
        <v>18</v>
      </c>
      <c r="C33" s="19" t="s">
        <v>135</v>
      </c>
      <c r="D33" s="22"/>
      <c r="E33" s="22"/>
      <c r="F33" s="22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19" t="s">
        <v>8</v>
      </c>
      <c r="B34" s="19" t="s">
        <v>18</v>
      </c>
      <c r="C34" s="19" t="s">
        <v>128</v>
      </c>
      <c r="D34" s="22"/>
      <c r="E34" s="22"/>
      <c r="F34" s="22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19" t="s">
        <v>8</v>
      </c>
      <c r="B35" s="19" t="s">
        <v>15</v>
      </c>
      <c r="C35" s="19" t="s">
        <v>10</v>
      </c>
      <c r="D35" s="20">
        <v>50000.0</v>
      </c>
      <c r="E35" s="20" t="s">
        <v>122</v>
      </c>
      <c r="F35" s="21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19" t="s">
        <v>8</v>
      </c>
      <c r="B36" s="19" t="s">
        <v>15</v>
      </c>
      <c r="C36" s="19" t="s">
        <v>136</v>
      </c>
      <c r="D36" s="20">
        <v>1000.0</v>
      </c>
      <c r="E36" s="20" t="s">
        <v>122</v>
      </c>
      <c r="F36" s="21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19" t="s">
        <v>8</v>
      </c>
      <c r="B37" s="19" t="s">
        <v>15</v>
      </c>
      <c r="C37" s="19" t="s">
        <v>123</v>
      </c>
      <c r="D37" s="20">
        <v>1000.0</v>
      </c>
      <c r="E37" s="20" t="s">
        <v>122</v>
      </c>
      <c r="F37" s="22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19" t="s">
        <v>8</v>
      </c>
      <c r="B38" s="19" t="s">
        <v>15</v>
      </c>
      <c r="C38" s="19" t="s">
        <v>134</v>
      </c>
      <c r="D38" s="20">
        <v>1.0</v>
      </c>
      <c r="E38" s="20" t="s">
        <v>125</v>
      </c>
      <c r="F38" s="22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>
      <c r="A39" s="19" t="s">
        <v>8</v>
      </c>
      <c r="B39" s="19" t="s">
        <v>15</v>
      </c>
      <c r="C39" s="19" t="s">
        <v>124</v>
      </c>
      <c r="D39" s="20">
        <v>1.0</v>
      </c>
      <c r="E39" s="20" t="s">
        <v>125</v>
      </c>
      <c r="F39" s="22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>
      <c r="A40" s="19" t="s">
        <v>8</v>
      </c>
      <c r="B40" s="19" t="s">
        <v>15</v>
      </c>
      <c r="C40" s="19" t="s">
        <v>127</v>
      </c>
      <c r="D40" s="22"/>
      <c r="E40" s="22"/>
      <c r="F40" s="22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>
      <c r="A41" s="19" t="s">
        <v>8</v>
      </c>
      <c r="B41" s="19" t="s">
        <v>15</v>
      </c>
      <c r="C41" s="19" t="s">
        <v>128</v>
      </c>
      <c r="D41" s="22"/>
      <c r="E41" s="22"/>
      <c r="F41" s="22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>
      <c r="A42" s="19" t="s">
        <v>8</v>
      </c>
      <c r="B42" s="19" t="s">
        <v>16</v>
      </c>
      <c r="C42" s="19" t="s">
        <v>12</v>
      </c>
      <c r="D42" s="20">
        <v>50000.0</v>
      </c>
      <c r="E42" s="20" t="s">
        <v>122</v>
      </c>
      <c r="F42" s="21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>
      <c r="A43" s="19" t="s">
        <v>8</v>
      </c>
      <c r="B43" s="19" t="s">
        <v>16</v>
      </c>
      <c r="C43" s="19" t="s">
        <v>136</v>
      </c>
      <c r="D43" s="20">
        <v>1000.0</v>
      </c>
      <c r="E43" s="20" t="s">
        <v>122</v>
      </c>
      <c r="F43" s="21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>
      <c r="A44" s="19" t="s">
        <v>8</v>
      </c>
      <c r="B44" s="19" t="s">
        <v>16</v>
      </c>
      <c r="C44" s="19" t="s">
        <v>123</v>
      </c>
      <c r="D44" s="20">
        <v>1000.0</v>
      </c>
      <c r="E44" s="20" t="s">
        <v>122</v>
      </c>
      <c r="F44" s="22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>
      <c r="A45" s="19" t="s">
        <v>8</v>
      </c>
      <c r="B45" s="19" t="s">
        <v>16</v>
      </c>
      <c r="C45" s="19" t="s">
        <v>134</v>
      </c>
      <c r="D45" s="20">
        <v>1.0</v>
      </c>
      <c r="E45" s="20" t="s">
        <v>125</v>
      </c>
      <c r="F45" s="22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>
      <c r="A46" s="19" t="s">
        <v>8</v>
      </c>
      <c r="B46" s="19" t="s">
        <v>16</v>
      </c>
      <c r="C46" s="19" t="s">
        <v>124</v>
      </c>
      <c r="D46" s="20">
        <v>1.0</v>
      </c>
      <c r="E46" s="20" t="s">
        <v>125</v>
      </c>
      <c r="F46" s="22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>
      <c r="A47" s="19" t="s">
        <v>8</v>
      </c>
      <c r="B47" s="19" t="s">
        <v>16</v>
      </c>
      <c r="C47" s="19" t="s">
        <v>127</v>
      </c>
      <c r="D47" s="22"/>
      <c r="E47" s="22"/>
      <c r="F47" s="22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>
      <c r="A48" s="19" t="s">
        <v>8</v>
      </c>
      <c r="B48" s="19" t="s">
        <v>16</v>
      </c>
      <c r="C48" s="19" t="s">
        <v>128</v>
      </c>
      <c r="D48" s="22"/>
      <c r="E48" s="22"/>
      <c r="F48" s="22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>
      <c r="A49" s="19" t="s">
        <v>8</v>
      </c>
      <c r="B49" s="19" t="s">
        <v>9</v>
      </c>
      <c r="C49" s="19" t="s">
        <v>10</v>
      </c>
      <c r="D49" s="20">
        <v>50000.0</v>
      </c>
      <c r="E49" s="20" t="s">
        <v>122</v>
      </c>
      <c r="F49" s="22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>
      <c r="A50" s="19" t="s">
        <v>8</v>
      </c>
      <c r="B50" s="19" t="s">
        <v>11</v>
      </c>
      <c r="C50" s="19" t="s">
        <v>12</v>
      </c>
      <c r="D50" s="20">
        <v>50000.0</v>
      </c>
      <c r="E50" s="20" t="s">
        <v>122</v>
      </c>
      <c r="F50" s="22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>
      <c r="A51" s="19" t="s">
        <v>8</v>
      </c>
      <c r="B51" s="19" t="s">
        <v>19</v>
      </c>
      <c r="C51" s="19" t="s">
        <v>10</v>
      </c>
      <c r="D51" s="20">
        <v>50000.0</v>
      </c>
      <c r="E51" s="20" t="s">
        <v>122</v>
      </c>
      <c r="F51" s="21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>
      <c r="A52" s="19" t="s">
        <v>8</v>
      </c>
      <c r="B52" s="19" t="s">
        <v>19</v>
      </c>
      <c r="C52" s="19" t="s">
        <v>129</v>
      </c>
      <c r="D52" s="20">
        <v>6000.0</v>
      </c>
      <c r="E52" s="20" t="s">
        <v>130</v>
      </c>
      <c r="F52" s="21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>
      <c r="A53" s="19" t="s">
        <v>8</v>
      </c>
      <c r="B53" s="19" t="s">
        <v>19</v>
      </c>
      <c r="C53" s="19" t="s">
        <v>137</v>
      </c>
      <c r="D53" s="20">
        <v>2000.0</v>
      </c>
      <c r="E53" s="20" t="s">
        <v>122</v>
      </c>
      <c r="F53" s="22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>
      <c r="A54" s="19" t="s">
        <v>8</v>
      </c>
      <c r="B54" s="19" t="s">
        <v>19</v>
      </c>
      <c r="C54" s="19" t="s">
        <v>138</v>
      </c>
      <c r="D54" s="20">
        <v>250.0</v>
      </c>
      <c r="E54" s="20" t="s">
        <v>122</v>
      </c>
      <c r="F54" s="22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>
      <c r="A55" s="19" t="s">
        <v>8</v>
      </c>
      <c r="B55" s="19" t="s">
        <v>19</v>
      </c>
      <c r="C55" s="19" t="s">
        <v>134</v>
      </c>
      <c r="D55" s="20">
        <v>1.0</v>
      </c>
      <c r="E55" s="20" t="s">
        <v>125</v>
      </c>
      <c r="F55" s="22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>
      <c r="A56" s="19" t="s">
        <v>8</v>
      </c>
      <c r="B56" s="19" t="s">
        <v>19</v>
      </c>
      <c r="C56" s="19" t="s">
        <v>124</v>
      </c>
      <c r="D56" s="20">
        <v>1.0</v>
      </c>
      <c r="E56" s="20" t="s">
        <v>125</v>
      </c>
      <c r="F56" s="22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>
      <c r="A57" s="19" t="s">
        <v>8</v>
      </c>
      <c r="B57" s="19" t="s">
        <v>19</v>
      </c>
      <c r="C57" s="19" t="s">
        <v>127</v>
      </c>
      <c r="D57" s="22"/>
      <c r="E57" s="22"/>
      <c r="F57" s="22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>
      <c r="A58" s="19" t="s">
        <v>8</v>
      </c>
      <c r="B58" s="19" t="s">
        <v>19</v>
      </c>
      <c r="C58" s="19" t="s">
        <v>135</v>
      </c>
      <c r="D58" s="22"/>
      <c r="E58" s="22"/>
      <c r="F58" s="22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>
      <c r="A59" s="19" t="s">
        <v>8</v>
      </c>
      <c r="B59" s="19" t="s">
        <v>19</v>
      </c>
      <c r="C59" s="19" t="s">
        <v>128</v>
      </c>
      <c r="D59" s="22"/>
      <c r="E59" s="22"/>
      <c r="F59" s="22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>
      <c r="A60" s="19" t="s">
        <v>8</v>
      </c>
      <c r="B60" s="19" t="s">
        <v>20</v>
      </c>
      <c r="C60" s="19" t="s">
        <v>12</v>
      </c>
      <c r="D60" s="20">
        <v>50000.0</v>
      </c>
      <c r="E60" s="20" t="s">
        <v>122</v>
      </c>
      <c r="F60" s="21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>
      <c r="A61" s="19" t="s">
        <v>8</v>
      </c>
      <c r="B61" s="19" t="s">
        <v>20</v>
      </c>
      <c r="C61" s="19" t="s">
        <v>129</v>
      </c>
      <c r="D61" s="20">
        <v>6000.0</v>
      </c>
      <c r="E61" s="20" t="s">
        <v>130</v>
      </c>
      <c r="F61" s="21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>
      <c r="A62" s="19" t="s">
        <v>8</v>
      </c>
      <c r="B62" s="19" t="s">
        <v>20</v>
      </c>
      <c r="C62" s="19" t="s">
        <v>137</v>
      </c>
      <c r="D62" s="20">
        <v>2000.0</v>
      </c>
      <c r="E62" s="20" t="s">
        <v>122</v>
      </c>
      <c r="F62" s="22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>
      <c r="A63" s="19" t="s">
        <v>8</v>
      </c>
      <c r="B63" s="19" t="s">
        <v>20</v>
      </c>
      <c r="C63" s="19" t="s">
        <v>138</v>
      </c>
      <c r="D63" s="20">
        <v>250.0</v>
      </c>
      <c r="E63" s="20" t="s">
        <v>122</v>
      </c>
      <c r="F63" s="22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>
      <c r="A64" s="19" t="s">
        <v>8</v>
      </c>
      <c r="B64" s="19" t="s">
        <v>20</v>
      </c>
      <c r="C64" s="19" t="s">
        <v>134</v>
      </c>
      <c r="D64" s="20">
        <v>1.0</v>
      </c>
      <c r="E64" s="20" t="s">
        <v>125</v>
      </c>
      <c r="F64" s="22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>
      <c r="A65" s="19" t="s">
        <v>8</v>
      </c>
      <c r="B65" s="19" t="s">
        <v>20</v>
      </c>
      <c r="C65" s="19" t="s">
        <v>124</v>
      </c>
      <c r="D65" s="20">
        <v>1.0</v>
      </c>
      <c r="E65" s="20" t="s">
        <v>125</v>
      </c>
      <c r="F65" s="22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>
      <c r="A66" s="19" t="s">
        <v>8</v>
      </c>
      <c r="B66" s="19" t="s">
        <v>20</v>
      </c>
      <c r="C66" s="19" t="s">
        <v>127</v>
      </c>
      <c r="D66" s="22"/>
      <c r="E66" s="22"/>
      <c r="F66" s="22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>
      <c r="A67" s="19" t="s">
        <v>8</v>
      </c>
      <c r="B67" s="19" t="s">
        <v>20</v>
      </c>
      <c r="C67" s="19" t="s">
        <v>135</v>
      </c>
      <c r="D67" s="22"/>
      <c r="E67" s="22"/>
      <c r="F67" s="22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>
      <c r="A68" s="19" t="s">
        <v>8</v>
      </c>
      <c r="B68" s="19" t="s">
        <v>20</v>
      </c>
      <c r="C68" s="19" t="s">
        <v>128</v>
      </c>
      <c r="D68" s="22"/>
      <c r="E68" s="22"/>
      <c r="F68" s="22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>
      <c r="A69" s="19" t="s">
        <v>21</v>
      </c>
      <c r="B69" s="19" t="s">
        <v>24</v>
      </c>
      <c r="C69" s="19" t="s">
        <v>23</v>
      </c>
      <c r="D69" s="20">
        <v>29000.0</v>
      </c>
      <c r="E69" s="20" t="s">
        <v>122</v>
      </c>
      <c r="F69" s="21">
        <v>50.0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>
      <c r="A70" s="19" t="s">
        <v>21</v>
      </c>
      <c r="B70" s="19" t="s">
        <v>24</v>
      </c>
      <c r="C70" s="19" t="s">
        <v>134</v>
      </c>
      <c r="D70" s="20">
        <v>1.0</v>
      </c>
      <c r="E70" s="20" t="s">
        <v>125</v>
      </c>
      <c r="F70" s="21" t="s">
        <v>139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>
      <c r="A71" s="19" t="s">
        <v>21</v>
      </c>
      <c r="B71" s="19" t="s">
        <v>24</v>
      </c>
      <c r="C71" s="19" t="s">
        <v>124</v>
      </c>
      <c r="D71" s="20">
        <v>1.0</v>
      </c>
      <c r="E71" s="20" t="s">
        <v>125</v>
      </c>
      <c r="F71" s="22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>
      <c r="A72" s="19" t="s">
        <v>21</v>
      </c>
      <c r="B72" s="19" t="s">
        <v>24</v>
      </c>
      <c r="C72" s="19" t="s">
        <v>140</v>
      </c>
      <c r="D72" s="20">
        <v>500.0</v>
      </c>
      <c r="E72" s="20" t="s">
        <v>122</v>
      </c>
      <c r="F72" s="22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>
      <c r="A73" s="19" t="s">
        <v>21</v>
      </c>
      <c r="B73" s="19" t="s">
        <v>24</v>
      </c>
      <c r="C73" s="19" t="s">
        <v>141</v>
      </c>
      <c r="D73" s="20">
        <v>500.0</v>
      </c>
      <c r="E73" s="20" t="s">
        <v>122</v>
      </c>
      <c r="F73" s="22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>
      <c r="A74" s="19" t="s">
        <v>21</v>
      </c>
      <c r="B74" s="19" t="s">
        <v>24</v>
      </c>
      <c r="C74" s="19" t="s">
        <v>142</v>
      </c>
      <c r="D74" s="20">
        <v>1000.0</v>
      </c>
      <c r="E74" s="20" t="s">
        <v>122</v>
      </c>
      <c r="F74" s="22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>
      <c r="A75" s="19" t="s">
        <v>21</v>
      </c>
      <c r="B75" s="19" t="s">
        <v>24</v>
      </c>
      <c r="C75" s="19" t="s">
        <v>143</v>
      </c>
      <c r="D75" s="20">
        <v>500.0</v>
      </c>
      <c r="E75" s="20" t="s">
        <v>122</v>
      </c>
      <c r="F75" s="22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>
      <c r="A76" s="19" t="s">
        <v>21</v>
      </c>
      <c r="B76" s="19" t="s">
        <v>24</v>
      </c>
      <c r="C76" s="19" t="s">
        <v>137</v>
      </c>
      <c r="D76" s="20">
        <v>1500.0</v>
      </c>
      <c r="E76" s="20" t="s">
        <v>122</v>
      </c>
      <c r="F76" s="22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>
      <c r="A77" s="19" t="s">
        <v>21</v>
      </c>
      <c r="B77" s="19" t="s">
        <v>24</v>
      </c>
      <c r="C77" s="19" t="s">
        <v>144</v>
      </c>
      <c r="D77" s="20">
        <v>3000.0</v>
      </c>
      <c r="E77" s="20" t="s">
        <v>122</v>
      </c>
      <c r="F77" s="22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>
      <c r="A78" s="19" t="s">
        <v>21</v>
      </c>
      <c r="B78" s="19" t="s">
        <v>24</v>
      </c>
      <c r="C78" s="19" t="s">
        <v>145</v>
      </c>
      <c r="D78" s="20">
        <v>100.0</v>
      </c>
      <c r="E78" s="20" t="s">
        <v>122</v>
      </c>
      <c r="F78" s="22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>
      <c r="A79" s="19" t="s">
        <v>21</v>
      </c>
      <c r="B79" s="19" t="s">
        <v>24</v>
      </c>
      <c r="C79" s="19" t="s">
        <v>127</v>
      </c>
      <c r="D79" s="22"/>
      <c r="E79" s="22"/>
      <c r="F79" s="22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>
      <c r="A80" s="19" t="s">
        <v>21</v>
      </c>
      <c r="B80" s="19" t="s">
        <v>24</v>
      </c>
      <c r="C80" s="19" t="s">
        <v>135</v>
      </c>
      <c r="D80" s="22"/>
      <c r="E80" s="22"/>
      <c r="F80" s="22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>
      <c r="A81" s="19" t="s">
        <v>21</v>
      </c>
      <c r="B81" s="19" t="s">
        <v>24</v>
      </c>
      <c r="C81" s="19" t="s">
        <v>128</v>
      </c>
      <c r="D81" s="22"/>
      <c r="E81" s="22"/>
      <c r="F81" s="22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>
      <c r="A82" s="19" t="s">
        <v>21</v>
      </c>
      <c r="B82" s="19" t="s">
        <v>28</v>
      </c>
      <c r="C82" s="19" t="s">
        <v>23</v>
      </c>
      <c r="D82" s="20">
        <v>29000.0</v>
      </c>
      <c r="E82" s="20" t="s">
        <v>122</v>
      </c>
      <c r="F82" s="21">
        <v>50.0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>
      <c r="A83" s="19" t="s">
        <v>21</v>
      </c>
      <c r="B83" s="19" t="s">
        <v>28</v>
      </c>
      <c r="C83" s="19" t="s">
        <v>39</v>
      </c>
      <c r="D83" s="20">
        <v>205.0</v>
      </c>
      <c r="E83" s="20" t="s">
        <v>122</v>
      </c>
      <c r="F83" s="21" t="s">
        <v>146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>
      <c r="A84" s="19" t="s">
        <v>21</v>
      </c>
      <c r="B84" s="19" t="s">
        <v>28</v>
      </c>
      <c r="C84" s="19" t="s">
        <v>147</v>
      </c>
      <c r="D84" s="20">
        <v>11000.0</v>
      </c>
      <c r="E84" s="20" t="s">
        <v>122</v>
      </c>
      <c r="F84" s="22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>
      <c r="A85" s="19" t="s">
        <v>21</v>
      </c>
      <c r="B85" s="19" t="s">
        <v>28</v>
      </c>
      <c r="C85" s="19" t="s">
        <v>148</v>
      </c>
      <c r="D85" s="20">
        <v>2250.0</v>
      </c>
      <c r="E85" s="20" t="s">
        <v>122</v>
      </c>
      <c r="F85" s="22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>
      <c r="A86" s="19" t="s">
        <v>21</v>
      </c>
      <c r="B86" s="19" t="s">
        <v>28</v>
      </c>
      <c r="C86" s="19" t="s">
        <v>149</v>
      </c>
      <c r="D86" s="20">
        <v>1750.0</v>
      </c>
      <c r="E86" s="20" t="s">
        <v>122</v>
      </c>
      <c r="F86" s="22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>
      <c r="A87" s="19" t="s">
        <v>21</v>
      </c>
      <c r="B87" s="19" t="s">
        <v>28</v>
      </c>
      <c r="C87" s="19" t="s">
        <v>150</v>
      </c>
      <c r="D87" s="20">
        <v>2000.0</v>
      </c>
      <c r="E87" s="20" t="s">
        <v>122</v>
      </c>
      <c r="F87" s="22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>
      <c r="A88" s="19" t="s">
        <v>21</v>
      </c>
      <c r="B88" s="19" t="s">
        <v>28</v>
      </c>
      <c r="C88" s="19" t="s">
        <v>151</v>
      </c>
      <c r="D88" s="20">
        <v>1000.0</v>
      </c>
      <c r="E88" s="20" t="s">
        <v>122</v>
      </c>
      <c r="F88" s="22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>
      <c r="A89" s="19" t="s">
        <v>21</v>
      </c>
      <c r="B89" s="19" t="s">
        <v>28</v>
      </c>
      <c r="C89" s="19" t="s">
        <v>145</v>
      </c>
      <c r="D89" s="20">
        <v>100.0</v>
      </c>
      <c r="E89" s="20" t="s">
        <v>122</v>
      </c>
      <c r="F89" s="22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>
      <c r="A90" s="19" t="s">
        <v>21</v>
      </c>
      <c r="B90" s="19" t="s">
        <v>28</v>
      </c>
      <c r="C90" s="19" t="s">
        <v>127</v>
      </c>
      <c r="D90" s="22"/>
      <c r="E90" s="22"/>
      <c r="F90" s="22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>
      <c r="A91" s="19" t="s">
        <v>21</v>
      </c>
      <c r="B91" s="19" t="s">
        <v>28</v>
      </c>
      <c r="C91" s="19" t="s">
        <v>128</v>
      </c>
      <c r="D91" s="22"/>
      <c r="E91" s="22"/>
      <c r="F91" s="22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>
      <c r="A92" s="19" t="s">
        <v>21</v>
      </c>
      <c r="B92" s="19" t="s">
        <v>22</v>
      </c>
      <c r="C92" s="19" t="s">
        <v>23</v>
      </c>
      <c r="D92" s="20">
        <v>29000.0</v>
      </c>
      <c r="E92" s="20" t="s">
        <v>122</v>
      </c>
      <c r="F92" s="21">
        <v>50.0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>
      <c r="A93" s="19" t="s">
        <v>21</v>
      </c>
      <c r="B93" s="19" t="s">
        <v>22</v>
      </c>
      <c r="C93" s="19" t="s">
        <v>131</v>
      </c>
      <c r="D93" s="20">
        <v>2000.0</v>
      </c>
      <c r="E93" s="20" t="s">
        <v>122</v>
      </c>
      <c r="F93" s="21" t="s">
        <v>146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>
      <c r="A94" s="19" t="s">
        <v>21</v>
      </c>
      <c r="B94" s="19" t="s">
        <v>22</v>
      </c>
      <c r="C94" s="19" t="s">
        <v>134</v>
      </c>
      <c r="D94" s="20">
        <v>1.0</v>
      </c>
      <c r="E94" s="20" t="s">
        <v>125</v>
      </c>
      <c r="F94" s="22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>
      <c r="A95" s="19" t="s">
        <v>21</v>
      </c>
      <c r="B95" s="19" t="s">
        <v>22</v>
      </c>
      <c r="C95" s="19" t="s">
        <v>124</v>
      </c>
      <c r="D95" s="20">
        <v>1.0</v>
      </c>
      <c r="E95" s="20" t="s">
        <v>125</v>
      </c>
      <c r="F95" s="22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>
      <c r="A96" s="19" t="s">
        <v>21</v>
      </c>
      <c r="B96" s="19" t="s">
        <v>22</v>
      </c>
      <c r="C96" s="19" t="s">
        <v>39</v>
      </c>
      <c r="D96" s="20">
        <v>1250.0</v>
      </c>
      <c r="E96" s="20" t="s">
        <v>122</v>
      </c>
      <c r="F96" s="22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>
      <c r="A97" s="19" t="s">
        <v>21</v>
      </c>
      <c r="B97" s="19" t="s">
        <v>22</v>
      </c>
      <c r="C97" s="19" t="s">
        <v>152</v>
      </c>
      <c r="D97" s="20">
        <v>1000.0</v>
      </c>
      <c r="E97" s="20" t="s">
        <v>122</v>
      </c>
      <c r="F97" s="22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>
      <c r="A98" s="19" t="s">
        <v>21</v>
      </c>
      <c r="B98" s="19" t="s">
        <v>22</v>
      </c>
      <c r="C98" s="19" t="s">
        <v>149</v>
      </c>
      <c r="D98" s="20">
        <v>4000.0</v>
      </c>
      <c r="E98" s="20" t="s">
        <v>122</v>
      </c>
      <c r="F98" s="22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>
      <c r="A99" s="19" t="s">
        <v>21</v>
      </c>
      <c r="B99" s="19" t="s">
        <v>22</v>
      </c>
      <c r="C99" s="19" t="s">
        <v>153</v>
      </c>
      <c r="D99" s="20">
        <v>240.0</v>
      </c>
      <c r="E99" s="20" t="s">
        <v>122</v>
      </c>
      <c r="F99" s="22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>
      <c r="A100" s="19" t="s">
        <v>21</v>
      </c>
      <c r="B100" s="19" t="s">
        <v>22</v>
      </c>
      <c r="C100" s="19" t="s">
        <v>145</v>
      </c>
      <c r="D100" s="20">
        <v>100.0</v>
      </c>
      <c r="E100" s="20" t="s">
        <v>122</v>
      </c>
      <c r="F100" s="22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>
      <c r="A101" s="19" t="s">
        <v>21</v>
      </c>
      <c r="B101" s="19" t="s">
        <v>22</v>
      </c>
      <c r="C101" s="19" t="s">
        <v>127</v>
      </c>
      <c r="D101" s="22"/>
      <c r="E101" s="22"/>
      <c r="F101" s="22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>
      <c r="A102" s="19" t="s">
        <v>21</v>
      </c>
      <c r="B102" s="19" t="s">
        <v>22</v>
      </c>
      <c r="C102" s="19" t="s">
        <v>135</v>
      </c>
      <c r="D102" s="22"/>
      <c r="E102" s="22"/>
      <c r="F102" s="22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>
      <c r="A103" s="19" t="s">
        <v>21</v>
      </c>
      <c r="B103" s="19" t="s">
        <v>22</v>
      </c>
      <c r="C103" s="19" t="s">
        <v>128</v>
      </c>
      <c r="D103" s="22"/>
      <c r="E103" s="22"/>
      <c r="F103" s="22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>
      <c r="A104" s="19" t="s">
        <v>21</v>
      </c>
      <c r="B104" s="19" t="s">
        <v>27</v>
      </c>
      <c r="C104" s="19" t="s">
        <v>23</v>
      </c>
      <c r="D104" s="20">
        <v>29000.0</v>
      </c>
      <c r="E104" s="20" t="s">
        <v>122</v>
      </c>
      <c r="F104" s="21">
        <v>50.0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>
      <c r="A105" s="19" t="s">
        <v>21</v>
      </c>
      <c r="B105" s="19" t="s">
        <v>27</v>
      </c>
      <c r="C105" s="19" t="s">
        <v>131</v>
      </c>
      <c r="D105" s="20">
        <v>2000.0</v>
      </c>
      <c r="E105" s="20" t="s">
        <v>122</v>
      </c>
      <c r="F105" s="21" t="s">
        <v>146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>
      <c r="A106" s="19" t="s">
        <v>21</v>
      </c>
      <c r="B106" s="19" t="s">
        <v>27</v>
      </c>
      <c r="C106" s="19" t="s">
        <v>134</v>
      </c>
      <c r="D106" s="20">
        <v>1.0</v>
      </c>
      <c r="E106" s="20" t="s">
        <v>125</v>
      </c>
      <c r="F106" s="22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>
      <c r="A107" s="19" t="s">
        <v>21</v>
      </c>
      <c r="B107" s="19" t="s">
        <v>27</v>
      </c>
      <c r="C107" s="19" t="s">
        <v>124</v>
      </c>
      <c r="D107" s="20">
        <v>1.0</v>
      </c>
      <c r="E107" s="20" t="s">
        <v>125</v>
      </c>
      <c r="F107" s="22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>
      <c r="A108" s="19" t="s">
        <v>21</v>
      </c>
      <c r="B108" s="19" t="s">
        <v>27</v>
      </c>
      <c r="C108" s="19" t="s">
        <v>154</v>
      </c>
      <c r="D108" s="20">
        <v>6800.0</v>
      </c>
      <c r="E108" s="20" t="s">
        <v>122</v>
      </c>
      <c r="F108" s="22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>
      <c r="A109" s="19" t="s">
        <v>21</v>
      </c>
      <c r="B109" s="19" t="s">
        <v>27</v>
      </c>
      <c r="C109" s="19" t="s">
        <v>141</v>
      </c>
      <c r="D109" s="20">
        <v>500.0</v>
      </c>
      <c r="E109" s="20" t="s">
        <v>122</v>
      </c>
      <c r="F109" s="22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>
      <c r="A110" s="19" t="s">
        <v>21</v>
      </c>
      <c r="B110" s="19" t="s">
        <v>27</v>
      </c>
      <c r="C110" s="19" t="s">
        <v>140</v>
      </c>
      <c r="D110" s="20">
        <v>500.0</v>
      </c>
      <c r="E110" s="20" t="s">
        <v>122</v>
      </c>
      <c r="F110" s="22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>
      <c r="A111" s="19" t="s">
        <v>21</v>
      </c>
      <c r="B111" s="19" t="s">
        <v>27</v>
      </c>
      <c r="C111" s="19" t="s">
        <v>133</v>
      </c>
      <c r="D111" s="20">
        <v>100.0</v>
      </c>
      <c r="E111" s="20" t="s">
        <v>122</v>
      </c>
      <c r="F111" s="22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>
      <c r="A112" s="19" t="s">
        <v>21</v>
      </c>
      <c r="B112" s="19" t="s">
        <v>27</v>
      </c>
      <c r="C112" s="19" t="s">
        <v>145</v>
      </c>
      <c r="D112" s="20">
        <v>100.0</v>
      </c>
      <c r="E112" s="20" t="s">
        <v>122</v>
      </c>
      <c r="F112" s="22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>
      <c r="A113" s="19" t="s">
        <v>21</v>
      </c>
      <c r="B113" s="19" t="s">
        <v>27</v>
      </c>
      <c r="C113" s="19" t="s">
        <v>127</v>
      </c>
      <c r="D113" s="22"/>
      <c r="E113" s="22"/>
      <c r="F113" s="22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>
      <c r="A114" s="19" t="s">
        <v>21</v>
      </c>
      <c r="B114" s="19" t="s">
        <v>27</v>
      </c>
      <c r="C114" s="19" t="s">
        <v>135</v>
      </c>
      <c r="D114" s="22"/>
      <c r="E114" s="22"/>
      <c r="F114" s="22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>
      <c r="A115" s="19" t="s">
        <v>21</v>
      </c>
      <c r="B115" s="19" t="s">
        <v>27</v>
      </c>
      <c r="C115" s="19" t="s">
        <v>128</v>
      </c>
      <c r="D115" s="22"/>
      <c r="E115" s="22"/>
      <c r="F115" s="22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>
      <c r="A116" s="19" t="s">
        <v>21</v>
      </c>
      <c r="B116" s="19" t="s">
        <v>25</v>
      </c>
      <c r="C116" s="19" t="s">
        <v>23</v>
      </c>
      <c r="D116" s="20">
        <v>29000.0</v>
      </c>
      <c r="E116" s="20" t="s">
        <v>122</v>
      </c>
      <c r="F116" s="21">
        <v>50.0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>
      <c r="A117" s="19" t="s">
        <v>21</v>
      </c>
      <c r="B117" s="19" t="s">
        <v>25</v>
      </c>
      <c r="C117" s="19" t="s">
        <v>131</v>
      </c>
      <c r="D117" s="20">
        <v>2000.0</v>
      </c>
      <c r="E117" s="20" t="s">
        <v>122</v>
      </c>
      <c r="F117" s="21" t="s">
        <v>146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>
      <c r="A118" s="19" t="s">
        <v>21</v>
      </c>
      <c r="B118" s="19" t="s">
        <v>25</v>
      </c>
      <c r="C118" s="19" t="s">
        <v>134</v>
      </c>
      <c r="D118" s="20">
        <v>1.0</v>
      </c>
      <c r="E118" s="20" t="s">
        <v>125</v>
      </c>
      <c r="F118" s="22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>
      <c r="A119" s="19" t="s">
        <v>21</v>
      </c>
      <c r="B119" s="19" t="s">
        <v>25</v>
      </c>
      <c r="C119" s="19" t="s">
        <v>124</v>
      </c>
      <c r="D119" s="20">
        <v>1.0</v>
      </c>
      <c r="E119" s="20" t="s">
        <v>125</v>
      </c>
      <c r="F119" s="22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>
      <c r="A120" s="19" t="s">
        <v>21</v>
      </c>
      <c r="B120" s="19" t="s">
        <v>25</v>
      </c>
      <c r="C120" s="19" t="s">
        <v>155</v>
      </c>
      <c r="D120" s="20">
        <v>0.25</v>
      </c>
      <c r="E120" s="20" t="s">
        <v>125</v>
      </c>
      <c r="F120" s="22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>
      <c r="A121" s="19" t="s">
        <v>21</v>
      </c>
      <c r="B121" s="19" t="s">
        <v>25</v>
      </c>
      <c r="C121" s="19" t="s">
        <v>156</v>
      </c>
      <c r="D121" s="20">
        <v>2400.0</v>
      </c>
      <c r="E121" s="20" t="s">
        <v>122</v>
      </c>
      <c r="F121" s="22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>
      <c r="A122" s="19" t="s">
        <v>21</v>
      </c>
      <c r="B122" s="19" t="s">
        <v>25</v>
      </c>
      <c r="C122" s="19" t="s">
        <v>157</v>
      </c>
      <c r="D122" s="20">
        <v>1800.0</v>
      </c>
      <c r="E122" s="20" t="s">
        <v>122</v>
      </c>
      <c r="F122" s="22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>
      <c r="A123" s="19" t="s">
        <v>21</v>
      </c>
      <c r="B123" s="19" t="s">
        <v>25</v>
      </c>
      <c r="C123" s="19" t="s">
        <v>143</v>
      </c>
      <c r="D123" s="20">
        <v>500.0</v>
      </c>
      <c r="E123" s="20" t="s">
        <v>122</v>
      </c>
      <c r="F123" s="22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>
      <c r="A124" s="19" t="s">
        <v>21</v>
      </c>
      <c r="B124" s="19" t="s">
        <v>25</v>
      </c>
      <c r="C124" s="19" t="s">
        <v>158</v>
      </c>
      <c r="D124" s="20">
        <v>500.0</v>
      </c>
      <c r="E124" s="20" t="s">
        <v>122</v>
      </c>
      <c r="F124" s="22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>
      <c r="A125" s="19" t="s">
        <v>21</v>
      </c>
      <c r="B125" s="19" t="s">
        <v>25</v>
      </c>
      <c r="C125" s="19" t="s">
        <v>159</v>
      </c>
      <c r="D125" s="20">
        <v>1000.0</v>
      </c>
      <c r="E125" s="20" t="s">
        <v>122</v>
      </c>
      <c r="F125" s="22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>
      <c r="A126" s="19" t="s">
        <v>21</v>
      </c>
      <c r="B126" s="19" t="s">
        <v>25</v>
      </c>
      <c r="C126" s="19" t="s">
        <v>145</v>
      </c>
      <c r="D126" s="20">
        <v>200.0</v>
      </c>
      <c r="E126" s="20" t="s">
        <v>122</v>
      </c>
      <c r="F126" s="22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>
      <c r="A127" s="19" t="s">
        <v>21</v>
      </c>
      <c r="B127" s="19" t="s">
        <v>25</v>
      </c>
      <c r="C127" s="19" t="s">
        <v>127</v>
      </c>
      <c r="D127" s="22"/>
      <c r="E127" s="22"/>
      <c r="F127" s="22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>
      <c r="A128" s="19" t="s">
        <v>21</v>
      </c>
      <c r="B128" s="19" t="s">
        <v>25</v>
      </c>
      <c r="C128" s="19" t="s">
        <v>135</v>
      </c>
      <c r="D128" s="22"/>
      <c r="E128" s="22"/>
      <c r="F128" s="22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>
      <c r="A129" s="19" t="s">
        <v>21</v>
      </c>
      <c r="B129" s="19" t="s">
        <v>25</v>
      </c>
      <c r="C129" s="19" t="s">
        <v>128</v>
      </c>
      <c r="D129" s="22"/>
      <c r="E129" s="22"/>
      <c r="F129" s="22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>
      <c r="A130" s="19" t="s">
        <v>21</v>
      </c>
      <c r="B130" s="19" t="s">
        <v>26</v>
      </c>
      <c r="C130" s="19" t="s">
        <v>23</v>
      </c>
      <c r="D130" s="20">
        <v>29000.0</v>
      </c>
      <c r="E130" s="20" t="s">
        <v>122</v>
      </c>
      <c r="F130" s="21">
        <v>50.0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>
      <c r="A131" s="19" t="s">
        <v>21</v>
      </c>
      <c r="B131" s="19" t="s">
        <v>26</v>
      </c>
      <c r="C131" s="19" t="s">
        <v>134</v>
      </c>
      <c r="D131" s="20">
        <v>1.0</v>
      </c>
      <c r="E131" s="20" t="s">
        <v>125</v>
      </c>
      <c r="F131" s="21" t="s">
        <v>146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>
      <c r="A132" s="19" t="s">
        <v>21</v>
      </c>
      <c r="B132" s="19" t="s">
        <v>26</v>
      </c>
      <c r="C132" s="19" t="s">
        <v>124</v>
      </c>
      <c r="D132" s="20">
        <v>1.0</v>
      </c>
      <c r="E132" s="20" t="s">
        <v>125</v>
      </c>
      <c r="F132" s="22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>
      <c r="A133" s="19" t="s">
        <v>21</v>
      </c>
      <c r="B133" s="19" t="s">
        <v>26</v>
      </c>
      <c r="C133" s="19" t="s">
        <v>140</v>
      </c>
      <c r="D133" s="20">
        <v>500.0</v>
      </c>
      <c r="E133" s="20" t="s">
        <v>122</v>
      </c>
      <c r="F133" s="22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>
      <c r="A134" s="19" t="s">
        <v>21</v>
      </c>
      <c r="B134" s="19" t="s">
        <v>26</v>
      </c>
      <c r="C134" s="19" t="s">
        <v>141</v>
      </c>
      <c r="D134" s="20">
        <v>500.0</v>
      </c>
      <c r="E134" s="20" t="s">
        <v>122</v>
      </c>
      <c r="F134" s="22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>
      <c r="A135" s="19" t="s">
        <v>21</v>
      </c>
      <c r="B135" s="19" t="s">
        <v>26</v>
      </c>
      <c r="C135" s="19" t="s">
        <v>160</v>
      </c>
      <c r="D135" s="20">
        <v>0.15</v>
      </c>
      <c r="E135" s="20" t="s">
        <v>125</v>
      </c>
      <c r="F135" s="22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>
      <c r="A136" s="19" t="s">
        <v>21</v>
      </c>
      <c r="B136" s="19" t="s">
        <v>26</v>
      </c>
      <c r="C136" s="19" t="s">
        <v>161</v>
      </c>
      <c r="D136" s="20">
        <v>2000.0</v>
      </c>
      <c r="E136" s="20" t="s">
        <v>122</v>
      </c>
      <c r="F136" s="22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>
      <c r="A137" s="19" t="s">
        <v>21</v>
      </c>
      <c r="B137" s="19" t="s">
        <v>26</v>
      </c>
      <c r="C137" s="19" t="s">
        <v>162</v>
      </c>
      <c r="D137" s="20">
        <v>15.0</v>
      </c>
      <c r="E137" s="20" t="s">
        <v>122</v>
      </c>
      <c r="F137" s="22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>
      <c r="A138" s="19" t="s">
        <v>21</v>
      </c>
      <c r="B138" s="19" t="s">
        <v>26</v>
      </c>
      <c r="C138" s="19" t="s">
        <v>163</v>
      </c>
      <c r="D138" s="20">
        <v>15.0</v>
      </c>
      <c r="E138" s="20" t="s">
        <v>122</v>
      </c>
      <c r="F138" s="22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>
      <c r="A139" s="19" t="s">
        <v>21</v>
      </c>
      <c r="B139" s="19" t="s">
        <v>26</v>
      </c>
      <c r="C139" s="19" t="s">
        <v>164</v>
      </c>
      <c r="D139" s="20">
        <v>15.0</v>
      </c>
      <c r="E139" s="20" t="s">
        <v>122</v>
      </c>
      <c r="F139" s="22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>
      <c r="A140" s="19" t="s">
        <v>21</v>
      </c>
      <c r="B140" s="19" t="s">
        <v>26</v>
      </c>
      <c r="C140" s="19" t="s">
        <v>129</v>
      </c>
      <c r="D140" s="20">
        <v>6000.0</v>
      </c>
      <c r="E140" s="20" t="s">
        <v>130</v>
      </c>
      <c r="F140" s="22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>
      <c r="A141" s="19" t="s">
        <v>21</v>
      </c>
      <c r="B141" s="19" t="s">
        <v>26</v>
      </c>
      <c r="C141" s="19" t="s">
        <v>145</v>
      </c>
      <c r="D141" s="20">
        <v>100.0</v>
      </c>
      <c r="E141" s="20" t="s">
        <v>122</v>
      </c>
      <c r="F141" s="22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>
      <c r="A142" s="19" t="s">
        <v>21</v>
      </c>
      <c r="B142" s="19" t="s">
        <v>26</v>
      </c>
      <c r="C142" s="19" t="s">
        <v>127</v>
      </c>
      <c r="D142" s="22"/>
      <c r="E142" s="22"/>
      <c r="F142" s="22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>
      <c r="A143" s="19" t="s">
        <v>21</v>
      </c>
      <c r="B143" s="19" t="s">
        <v>26</v>
      </c>
      <c r="C143" s="19" t="s">
        <v>135</v>
      </c>
      <c r="D143" s="22"/>
      <c r="E143" s="22"/>
      <c r="F143" s="22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>
      <c r="A144" s="19" t="s">
        <v>21</v>
      </c>
      <c r="B144" s="19" t="s">
        <v>26</v>
      </c>
      <c r="C144" s="19" t="s">
        <v>128</v>
      </c>
      <c r="D144" s="22"/>
      <c r="E144" s="22"/>
      <c r="F144" s="21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>
      <c r="A145" s="19" t="s">
        <v>29</v>
      </c>
      <c r="B145" s="19" t="s">
        <v>33</v>
      </c>
      <c r="C145" s="19" t="s">
        <v>31</v>
      </c>
      <c r="D145" s="20">
        <v>20000.0</v>
      </c>
      <c r="E145" s="20" t="s">
        <v>122</v>
      </c>
      <c r="F145" s="21">
        <v>20.0</v>
      </c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>
      <c r="A146" s="19" t="s">
        <v>29</v>
      </c>
      <c r="B146" s="19" t="s">
        <v>33</v>
      </c>
      <c r="C146" s="19" t="s">
        <v>165</v>
      </c>
      <c r="D146" s="20">
        <v>1200.0</v>
      </c>
      <c r="E146" s="20" t="s">
        <v>122</v>
      </c>
      <c r="F146" s="21" t="s">
        <v>166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>
      <c r="A147" s="19" t="s">
        <v>29</v>
      </c>
      <c r="B147" s="19" t="s">
        <v>33</v>
      </c>
      <c r="C147" s="19" t="s">
        <v>144</v>
      </c>
      <c r="D147" s="20">
        <v>620.0</v>
      </c>
      <c r="E147" s="20" t="s">
        <v>122</v>
      </c>
      <c r="F147" s="22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>
      <c r="A148" s="19" t="s">
        <v>29</v>
      </c>
      <c r="B148" s="19" t="s">
        <v>33</v>
      </c>
      <c r="C148" s="19" t="s">
        <v>167</v>
      </c>
      <c r="D148" s="20">
        <v>310.0</v>
      </c>
      <c r="E148" s="20" t="s">
        <v>130</v>
      </c>
      <c r="F148" s="22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>
      <c r="A149" s="19" t="s">
        <v>29</v>
      </c>
      <c r="B149" s="19" t="s">
        <v>33</v>
      </c>
      <c r="C149" s="19" t="s">
        <v>135</v>
      </c>
      <c r="D149" s="20">
        <v>310.0</v>
      </c>
      <c r="E149" s="20" t="s">
        <v>122</v>
      </c>
      <c r="F149" s="22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>
      <c r="A150" s="19" t="s">
        <v>29</v>
      </c>
      <c r="B150" s="19" t="s">
        <v>33</v>
      </c>
      <c r="C150" s="19" t="s">
        <v>168</v>
      </c>
      <c r="D150" s="20">
        <v>220.0</v>
      </c>
      <c r="E150" s="20" t="s">
        <v>130</v>
      </c>
      <c r="F150" s="22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>
      <c r="A151" s="19" t="s">
        <v>29</v>
      </c>
      <c r="B151" s="19" t="s">
        <v>33</v>
      </c>
      <c r="C151" s="19" t="s">
        <v>169</v>
      </c>
      <c r="D151" s="20">
        <v>350.0</v>
      </c>
      <c r="E151" s="20" t="s">
        <v>122</v>
      </c>
      <c r="F151" s="22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>
      <c r="A152" s="19" t="s">
        <v>29</v>
      </c>
      <c r="B152" s="19" t="s">
        <v>33</v>
      </c>
      <c r="C152" s="19" t="s">
        <v>123</v>
      </c>
      <c r="D152" s="20">
        <v>370.0</v>
      </c>
      <c r="E152" s="20" t="s">
        <v>122</v>
      </c>
      <c r="F152" s="22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>
      <c r="A153" s="19" t="s">
        <v>29</v>
      </c>
      <c r="B153" s="19" t="s">
        <v>33</v>
      </c>
      <c r="C153" s="19" t="s">
        <v>142</v>
      </c>
      <c r="D153" s="20">
        <v>1000.0</v>
      </c>
      <c r="E153" s="20" t="s">
        <v>122</v>
      </c>
      <c r="F153" s="22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>
      <c r="A154" s="19" t="s">
        <v>29</v>
      </c>
      <c r="B154" s="19" t="s">
        <v>33</v>
      </c>
      <c r="C154" s="19" t="s">
        <v>145</v>
      </c>
      <c r="D154" s="20">
        <v>50.0</v>
      </c>
      <c r="E154" s="20" t="s">
        <v>122</v>
      </c>
      <c r="F154" s="22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>
      <c r="A155" s="19" t="s">
        <v>29</v>
      </c>
      <c r="B155" s="19" t="s">
        <v>33</v>
      </c>
      <c r="C155" s="19" t="s">
        <v>127</v>
      </c>
      <c r="D155" s="22"/>
      <c r="E155" s="22"/>
      <c r="F155" s="22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>
      <c r="A156" s="19" t="s">
        <v>29</v>
      </c>
      <c r="B156" s="19" t="s">
        <v>33</v>
      </c>
      <c r="C156" s="19" t="s">
        <v>128</v>
      </c>
      <c r="D156" s="22"/>
      <c r="E156" s="22"/>
      <c r="F156" s="22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>
      <c r="A157" s="19" t="s">
        <v>29</v>
      </c>
      <c r="B157" s="19" t="s">
        <v>30</v>
      </c>
      <c r="C157" s="19" t="s">
        <v>31</v>
      </c>
      <c r="D157" s="20">
        <v>7500.0</v>
      </c>
      <c r="E157" s="20" t="s">
        <v>122</v>
      </c>
      <c r="F157" s="21">
        <v>7500.0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>
      <c r="A158" s="19" t="s">
        <v>29</v>
      </c>
      <c r="B158" s="19" t="s">
        <v>30</v>
      </c>
      <c r="C158" s="19" t="s">
        <v>131</v>
      </c>
      <c r="D158" s="20">
        <v>180.0</v>
      </c>
      <c r="E158" s="20" t="s">
        <v>122</v>
      </c>
      <c r="F158" s="21" t="s">
        <v>170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>
      <c r="A159" s="19" t="s">
        <v>29</v>
      </c>
      <c r="B159" s="19" t="s">
        <v>30</v>
      </c>
      <c r="C159" s="19" t="s">
        <v>142</v>
      </c>
      <c r="D159" s="20">
        <v>290.0</v>
      </c>
      <c r="E159" s="20" t="s">
        <v>122</v>
      </c>
      <c r="F159" s="20">
        <v>5000.0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>
      <c r="A160" s="19" t="s">
        <v>29</v>
      </c>
      <c r="B160" s="19" t="s">
        <v>30</v>
      </c>
      <c r="C160" s="19" t="s">
        <v>123</v>
      </c>
      <c r="D160" s="20">
        <v>145.0</v>
      </c>
      <c r="E160" s="20" t="s">
        <v>122</v>
      </c>
      <c r="F160" s="20" t="s">
        <v>171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>
      <c r="A161" s="19" t="s">
        <v>29</v>
      </c>
      <c r="B161" s="19" t="s">
        <v>30</v>
      </c>
      <c r="C161" s="19" t="s">
        <v>143</v>
      </c>
      <c r="D161" s="20">
        <v>145.0</v>
      </c>
      <c r="E161" s="20" t="s">
        <v>122</v>
      </c>
      <c r="F161" s="22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>
      <c r="A162" s="19" t="s">
        <v>29</v>
      </c>
      <c r="B162" s="19" t="s">
        <v>30</v>
      </c>
      <c r="C162" s="19" t="s">
        <v>158</v>
      </c>
      <c r="D162" s="20">
        <v>145.0</v>
      </c>
      <c r="E162" s="20" t="s">
        <v>122</v>
      </c>
      <c r="F162" s="22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>
      <c r="A163" s="19" t="s">
        <v>29</v>
      </c>
      <c r="B163" s="19" t="s">
        <v>30</v>
      </c>
      <c r="C163" s="19" t="s">
        <v>144</v>
      </c>
      <c r="D163" s="20">
        <v>120.0</v>
      </c>
      <c r="E163" s="20" t="s">
        <v>122</v>
      </c>
      <c r="F163" s="22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>
      <c r="A164" s="19" t="s">
        <v>29</v>
      </c>
      <c r="B164" s="19" t="s">
        <v>30</v>
      </c>
      <c r="C164" s="19" t="s">
        <v>172</v>
      </c>
      <c r="D164" s="20">
        <v>405.0</v>
      </c>
      <c r="E164" s="20" t="s">
        <v>122</v>
      </c>
      <c r="F164" s="22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>
      <c r="A165" s="19" t="s">
        <v>29</v>
      </c>
      <c r="B165" s="19" t="s">
        <v>30</v>
      </c>
      <c r="C165" s="19" t="s">
        <v>173</v>
      </c>
      <c r="D165" s="20">
        <v>210.0</v>
      </c>
      <c r="E165" s="20" t="s">
        <v>122</v>
      </c>
      <c r="F165" s="22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>
      <c r="A166" s="19" t="s">
        <v>29</v>
      </c>
      <c r="B166" s="19" t="s">
        <v>30</v>
      </c>
      <c r="C166" s="19" t="s">
        <v>174</v>
      </c>
      <c r="D166" s="20">
        <v>50.0</v>
      </c>
      <c r="E166" s="20" t="s">
        <v>130</v>
      </c>
      <c r="F166" s="22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>
      <c r="A167" s="19" t="s">
        <v>29</v>
      </c>
      <c r="B167" s="19" t="s">
        <v>30</v>
      </c>
      <c r="C167" s="19" t="s">
        <v>145</v>
      </c>
      <c r="D167" s="20">
        <v>15.0</v>
      </c>
      <c r="E167" s="20" t="s">
        <v>122</v>
      </c>
      <c r="F167" s="22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19" t="s">
        <v>29</v>
      </c>
      <c r="B168" s="19" t="s">
        <v>30</v>
      </c>
      <c r="C168" s="19" t="s">
        <v>127</v>
      </c>
      <c r="D168" s="22"/>
      <c r="E168" s="22"/>
      <c r="F168" s="22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>
      <c r="A169" s="19" t="s">
        <v>29</v>
      </c>
      <c r="B169" s="19" t="s">
        <v>30</v>
      </c>
      <c r="C169" s="19" t="s">
        <v>135</v>
      </c>
      <c r="D169" s="22"/>
      <c r="E169" s="22"/>
      <c r="F169" s="22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>
      <c r="A170" s="19" t="s">
        <v>29</v>
      </c>
      <c r="B170" s="19" t="s">
        <v>30</v>
      </c>
      <c r="C170" s="19" t="s">
        <v>128</v>
      </c>
      <c r="D170" s="22"/>
      <c r="E170" s="22"/>
      <c r="F170" s="22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>
      <c r="A171" s="19" t="s">
        <v>29</v>
      </c>
      <c r="B171" s="19" t="s">
        <v>32</v>
      </c>
      <c r="C171" s="19" t="s">
        <v>31</v>
      </c>
      <c r="D171" s="20">
        <v>20000.0</v>
      </c>
      <c r="E171" s="20" t="s">
        <v>122</v>
      </c>
      <c r="F171" s="21">
        <v>20.0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>
      <c r="A172" s="19" t="s">
        <v>29</v>
      </c>
      <c r="B172" s="19" t="s">
        <v>32</v>
      </c>
      <c r="C172" s="19" t="s">
        <v>175</v>
      </c>
      <c r="D172" s="20">
        <v>2000.0</v>
      </c>
      <c r="E172" s="20" t="s">
        <v>130</v>
      </c>
      <c r="F172" s="21" t="s">
        <v>166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>
      <c r="A173" s="19" t="s">
        <v>29</v>
      </c>
      <c r="B173" s="19" t="s">
        <v>32</v>
      </c>
      <c r="C173" s="19" t="s">
        <v>144</v>
      </c>
      <c r="D173" s="20">
        <v>1200.0</v>
      </c>
      <c r="E173" s="20" t="s">
        <v>122</v>
      </c>
      <c r="F173" s="22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>
      <c r="A174" s="19" t="s">
        <v>29</v>
      </c>
      <c r="B174" s="19" t="s">
        <v>32</v>
      </c>
      <c r="C174" s="19" t="s">
        <v>176</v>
      </c>
      <c r="D174" s="20">
        <v>1440.0</v>
      </c>
      <c r="E174" s="20" t="s">
        <v>130</v>
      </c>
      <c r="F174" s="22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>
      <c r="A175" s="19" t="s">
        <v>29</v>
      </c>
      <c r="B175" s="19" t="s">
        <v>32</v>
      </c>
      <c r="C175" s="19" t="s">
        <v>177</v>
      </c>
      <c r="D175" s="20">
        <v>200.0</v>
      </c>
      <c r="E175" s="20" t="s">
        <v>130</v>
      </c>
      <c r="F175" s="22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>
      <c r="A176" s="19" t="s">
        <v>29</v>
      </c>
      <c r="B176" s="19" t="s">
        <v>32</v>
      </c>
      <c r="C176" s="19" t="s">
        <v>168</v>
      </c>
      <c r="D176" s="20">
        <v>640.0</v>
      </c>
      <c r="E176" s="20" t="s">
        <v>130</v>
      </c>
      <c r="F176" s="22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>
      <c r="A177" s="19" t="s">
        <v>29</v>
      </c>
      <c r="B177" s="19" t="s">
        <v>32</v>
      </c>
      <c r="C177" s="19" t="s">
        <v>140</v>
      </c>
      <c r="D177" s="20">
        <v>50.0</v>
      </c>
      <c r="E177" s="20" t="s">
        <v>122</v>
      </c>
      <c r="F177" s="22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>
      <c r="A178" s="19" t="s">
        <v>29</v>
      </c>
      <c r="B178" s="19" t="s">
        <v>32</v>
      </c>
      <c r="C178" s="19" t="s">
        <v>123</v>
      </c>
      <c r="D178" s="20">
        <v>1000.0</v>
      </c>
      <c r="E178" s="20" t="s">
        <v>122</v>
      </c>
      <c r="F178" s="22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>
      <c r="A179" s="19" t="s">
        <v>29</v>
      </c>
      <c r="B179" s="19" t="s">
        <v>32</v>
      </c>
      <c r="C179" s="19" t="s">
        <v>142</v>
      </c>
      <c r="D179" s="20">
        <v>1000.0</v>
      </c>
      <c r="E179" s="20" t="s">
        <v>122</v>
      </c>
      <c r="F179" s="22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>
      <c r="A180" s="19" t="s">
        <v>29</v>
      </c>
      <c r="B180" s="19" t="s">
        <v>32</v>
      </c>
      <c r="C180" s="19" t="s">
        <v>143</v>
      </c>
      <c r="D180" s="20">
        <v>150.0</v>
      </c>
      <c r="E180" s="20" t="s">
        <v>122</v>
      </c>
      <c r="F180" s="22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>
      <c r="A181" s="19" t="s">
        <v>29</v>
      </c>
      <c r="B181" s="19" t="s">
        <v>32</v>
      </c>
      <c r="C181" s="19" t="s">
        <v>178</v>
      </c>
      <c r="D181" s="20">
        <v>150.0</v>
      </c>
      <c r="E181" s="20" t="s">
        <v>122</v>
      </c>
      <c r="F181" s="22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>
      <c r="A182" s="19" t="s">
        <v>29</v>
      </c>
      <c r="B182" s="19" t="s">
        <v>32</v>
      </c>
      <c r="C182" s="19" t="s">
        <v>145</v>
      </c>
      <c r="D182" s="20">
        <v>40.0</v>
      </c>
      <c r="E182" s="20" t="s">
        <v>122</v>
      </c>
      <c r="F182" s="22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>
      <c r="A183" s="19" t="s">
        <v>29</v>
      </c>
      <c r="B183" s="19" t="s">
        <v>32</v>
      </c>
      <c r="C183" s="19" t="s">
        <v>127</v>
      </c>
      <c r="D183" s="22"/>
      <c r="E183" s="22"/>
      <c r="F183" s="22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>
      <c r="A184" s="19" t="s">
        <v>29</v>
      </c>
      <c r="B184" s="19" t="s">
        <v>32</v>
      </c>
      <c r="C184" s="19" t="s">
        <v>135</v>
      </c>
      <c r="D184" s="22"/>
      <c r="E184" s="22"/>
      <c r="F184" s="22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>
      <c r="A185" s="19" t="s">
        <v>29</v>
      </c>
      <c r="B185" s="19" t="s">
        <v>32</v>
      </c>
      <c r="C185" s="19" t="s">
        <v>128</v>
      </c>
      <c r="D185" s="22"/>
      <c r="E185" s="22"/>
      <c r="F185" s="22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>
      <c r="A186" s="19" t="s">
        <v>29</v>
      </c>
      <c r="B186" s="19" t="s">
        <v>34</v>
      </c>
      <c r="C186" s="19" t="s">
        <v>31</v>
      </c>
      <c r="D186" s="20">
        <v>20000.0</v>
      </c>
      <c r="E186" s="20" t="s">
        <v>122</v>
      </c>
      <c r="F186" s="21">
        <v>20.0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>
      <c r="A187" s="19" t="s">
        <v>29</v>
      </c>
      <c r="B187" s="19" t="s">
        <v>34</v>
      </c>
      <c r="C187" s="19" t="s">
        <v>134</v>
      </c>
      <c r="D187" s="20">
        <v>1.0</v>
      </c>
      <c r="E187" s="20" t="s">
        <v>125</v>
      </c>
      <c r="F187" s="21" t="s">
        <v>166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>
      <c r="A188" s="19" t="s">
        <v>29</v>
      </c>
      <c r="B188" s="19" t="s">
        <v>34</v>
      </c>
      <c r="C188" s="19" t="s">
        <v>124</v>
      </c>
      <c r="D188" s="20">
        <v>1.0</v>
      </c>
      <c r="E188" s="20" t="s">
        <v>125</v>
      </c>
      <c r="F188" s="22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>
      <c r="A189" s="19" t="s">
        <v>29</v>
      </c>
      <c r="B189" s="19" t="s">
        <v>34</v>
      </c>
      <c r="C189" s="19" t="s">
        <v>140</v>
      </c>
      <c r="D189" s="20">
        <v>200.0</v>
      </c>
      <c r="E189" s="20" t="s">
        <v>122</v>
      </c>
      <c r="F189" s="22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>
      <c r="A190" s="19" t="s">
        <v>29</v>
      </c>
      <c r="B190" s="19" t="s">
        <v>34</v>
      </c>
      <c r="C190" s="19" t="s">
        <v>141</v>
      </c>
      <c r="D190" s="20">
        <v>200.0</v>
      </c>
      <c r="E190" s="20" t="s">
        <v>122</v>
      </c>
      <c r="F190" s="22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>
      <c r="A191" s="19" t="s">
        <v>29</v>
      </c>
      <c r="B191" s="19" t="s">
        <v>34</v>
      </c>
      <c r="C191" s="19" t="s">
        <v>137</v>
      </c>
      <c r="D191" s="20">
        <v>1000.0</v>
      </c>
      <c r="E191" s="20" t="s">
        <v>122</v>
      </c>
      <c r="F191" s="22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>
      <c r="A192" s="19" t="s">
        <v>29</v>
      </c>
      <c r="B192" s="19" t="s">
        <v>34</v>
      </c>
      <c r="C192" s="19" t="s">
        <v>144</v>
      </c>
      <c r="D192" s="20">
        <v>1600.0</v>
      </c>
      <c r="E192" s="20" t="s">
        <v>122</v>
      </c>
      <c r="F192" s="22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>
      <c r="A193" s="19" t="s">
        <v>29</v>
      </c>
      <c r="B193" s="19" t="s">
        <v>34</v>
      </c>
      <c r="C193" s="19" t="s">
        <v>176</v>
      </c>
      <c r="D193" s="20">
        <v>400.0</v>
      </c>
      <c r="E193" s="20" t="s">
        <v>130</v>
      </c>
      <c r="F193" s="22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>
      <c r="A194" s="19" t="s">
        <v>29</v>
      </c>
      <c r="B194" s="19" t="s">
        <v>34</v>
      </c>
      <c r="C194" s="19" t="s">
        <v>158</v>
      </c>
      <c r="D194" s="20">
        <v>300.0</v>
      </c>
      <c r="E194" s="20" t="s">
        <v>122</v>
      </c>
      <c r="F194" s="22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>
      <c r="A195" s="19" t="s">
        <v>29</v>
      </c>
      <c r="B195" s="19" t="s">
        <v>34</v>
      </c>
      <c r="C195" s="19" t="s">
        <v>145</v>
      </c>
      <c r="D195" s="20">
        <v>40.0</v>
      </c>
      <c r="E195" s="20" t="s">
        <v>122</v>
      </c>
      <c r="F195" s="22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>
      <c r="A196" s="19" t="s">
        <v>29</v>
      </c>
      <c r="B196" s="19" t="s">
        <v>34</v>
      </c>
      <c r="C196" s="19" t="s">
        <v>127</v>
      </c>
      <c r="D196" s="22"/>
      <c r="E196" s="22"/>
      <c r="F196" s="22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>
      <c r="A197" s="19" t="s">
        <v>29</v>
      </c>
      <c r="B197" s="19" t="s">
        <v>34</v>
      </c>
      <c r="C197" s="19" t="s">
        <v>135</v>
      </c>
      <c r="D197" s="22"/>
      <c r="E197" s="22"/>
      <c r="F197" s="22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>
      <c r="A198" s="19" t="s">
        <v>29</v>
      </c>
      <c r="B198" s="19" t="s">
        <v>34</v>
      </c>
      <c r="C198" s="19" t="s">
        <v>128</v>
      </c>
      <c r="D198" s="22"/>
      <c r="E198" s="22"/>
      <c r="F198" s="22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>
      <c r="A199" s="19" t="s">
        <v>29</v>
      </c>
      <c r="B199" s="19" t="s">
        <v>35</v>
      </c>
      <c r="C199" s="19" t="s">
        <v>31</v>
      </c>
      <c r="D199" s="20">
        <v>20000.0</v>
      </c>
      <c r="E199" s="20" t="s">
        <v>122</v>
      </c>
      <c r="F199" s="21">
        <v>20.0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>
      <c r="A200" s="19" t="s">
        <v>29</v>
      </c>
      <c r="B200" s="19" t="s">
        <v>35</v>
      </c>
      <c r="C200" s="19" t="s">
        <v>134</v>
      </c>
      <c r="D200" s="20">
        <v>1.0</v>
      </c>
      <c r="E200" s="20" t="s">
        <v>125</v>
      </c>
      <c r="F200" s="21" t="s">
        <v>166</v>
      </c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>
      <c r="A201" s="19" t="s">
        <v>29</v>
      </c>
      <c r="B201" s="19" t="s">
        <v>35</v>
      </c>
      <c r="C201" s="19" t="s">
        <v>124</v>
      </c>
      <c r="D201" s="20">
        <v>1.0</v>
      </c>
      <c r="E201" s="20" t="s">
        <v>125</v>
      </c>
      <c r="F201" s="22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>
      <c r="A202" s="19" t="s">
        <v>29</v>
      </c>
      <c r="B202" s="19" t="s">
        <v>35</v>
      </c>
      <c r="C202" s="19" t="s">
        <v>140</v>
      </c>
      <c r="D202" s="20">
        <v>200.0</v>
      </c>
      <c r="E202" s="20" t="s">
        <v>122</v>
      </c>
      <c r="F202" s="22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>
      <c r="A203" s="19" t="s">
        <v>29</v>
      </c>
      <c r="B203" s="19" t="s">
        <v>35</v>
      </c>
      <c r="C203" s="19" t="s">
        <v>141</v>
      </c>
      <c r="D203" s="20">
        <v>200.0</v>
      </c>
      <c r="E203" s="20" t="s">
        <v>122</v>
      </c>
      <c r="F203" s="22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>
      <c r="A204" s="19" t="s">
        <v>29</v>
      </c>
      <c r="B204" s="19" t="s">
        <v>35</v>
      </c>
      <c r="C204" s="19" t="s">
        <v>131</v>
      </c>
      <c r="D204" s="20">
        <v>2000.0</v>
      </c>
      <c r="E204" s="20" t="s">
        <v>122</v>
      </c>
      <c r="F204" s="22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>
      <c r="A205" s="19" t="s">
        <v>29</v>
      </c>
      <c r="B205" s="19" t="s">
        <v>35</v>
      </c>
      <c r="C205" s="19" t="s">
        <v>156</v>
      </c>
      <c r="D205" s="20">
        <v>1600.0</v>
      </c>
      <c r="E205" s="20" t="s">
        <v>122</v>
      </c>
      <c r="F205" s="22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>
      <c r="A206" s="19" t="s">
        <v>29</v>
      </c>
      <c r="B206" s="19" t="s">
        <v>35</v>
      </c>
      <c r="C206" s="19" t="s">
        <v>145</v>
      </c>
      <c r="D206" s="20">
        <v>40.0</v>
      </c>
      <c r="E206" s="20" t="s">
        <v>122</v>
      </c>
      <c r="F206" s="22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>
      <c r="A207" s="19" t="s">
        <v>29</v>
      </c>
      <c r="B207" s="19" t="s">
        <v>35</v>
      </c>
      <c r="C207" s="19" t="s">
        <v>127</v>
      </c>
      <c r="D207" s="22"/>
      <c r="E207" s="22"/>
      <c r="F207" s="22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>
      <c r="A208" s="19" t="s">
        <v>29</v>
      </c>
      <c r="B208" s="19" t="s">
        <v>35</v>
      </c>
      <c r="C208" s="19" t="s">
        <v>135</v>
      </c>
      <c r="D208" s="22"/>
      <c r="E208" s="22"/>
      <c r="F208" s="22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>
      <c r="A209" s="19" t="s">
        <v>29</v>
      </c>
      <c r="B209" s="19" t="s">
        <v>35</v>
      </c>
      <c r="C209" s="19" t="s">
        <v>128</v>
      </c>
      <c r="D209" s="22"/>
      <c r="E209" s="22"/>
      <c r="F209" s="22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>
      <c r="A210" s="19" t="s">
        <v>29</v>
      </c>
      <c r="B210" s="19" t="s">
        <v>36</v>
      </c>
      <c r="C210" s="19" t="s">
        <v>31</v>
      </c>
      <c r="D210" s="20">
        <v>20000.0</v>
      </c>
      <c r="E210" s="20" t="s">
        <v>122</v>
      </c>
      <c r="F210" s="21">
        <v>20.0</v>
      </c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>
      <c r="A211" s="19" t="s">
        <v>29</v>
      </c>
      <c r="B211" s="19" t="s">
        <v>36</v>
      </c>
      <c r="C211" s="19" t="s">
        <v>134</v>
      </c>
      <c r="D211" s="20">
        <v>1.0</v>
      </c>
      <c r="E211" s="20" t="s">
        <v>125</v>
      </c>
      <c r="F211" s="21" t="s">
        <v>166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>
      <c r="A212" s="19" t="s">
        <v>29</v>
      </c>
      <c r="B212" s="19" t="s">
        <v>36</v>
      </c>
      <c r="C212" s="19" t="s">
        <v>124</v>
      </c>
      <c r="D212" s="20">
        <v>1.0</v>
      </c>
      <c r="E212" s="20" t="s">
        <v>125</v>
      </c>
      <c r="F212" s="22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>
      <c r="A213" s="19" t="s">
        <v>29</v>
      </c>
      <c r="B213" s="19" t="s">
        <v>36</v>
      </c>
      <c r="C213" s="19" t="s">
        <v>140</v>
      </c>
      <c r="D213" s="20">
        <v>200.0</v>
      </c>
      <c r="E213" s="20" t="s">
        <v>122</v>
      </c>
      <c r="F213" s="22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>
      <c r="A214" s="19" t="s">
        <v>29</v>
      </c>
      <c r="B214" s="19" t="s">
        <v>36</v>
      </c>
      <c r="C214" s="19" t="s">
        <v>141</v>
      </c>
      <c r="D214" s="20">
        <v>200.0</v>
      </c>
      <c r="E214" s="20" t="s">
        <v>122</v>
      </c>
      <c r="F214" s="22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>
      <c r="A215" s="19" t="s">
        <v>29</v>
      </c>
      <c r="B215" s="19" t="s">
        <v>36</v>
      </c>
      <c r="C215" s="19" t="s">
        <v>179</v>
      </c>
      <c r="D215" s="20">
        <v>2000.0</v>
      </c>
      <c r="E215" s="20" t="s">
        <v>122</v>
      </c>
      <c r="F215" s="22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>
      <c r="A216" s="19" t="s">
        <v>29</v>
      </c>
      <c r="B216" s="19" t="s">
        <v>36</v>
      </c>
      <c r="C216" s="19" t="s">
        <v>156</v>
      </c>
      <c r="D216" s="20">
        <v>1600.0</v>
      </c>
      <c r="E216" s="20" t="s">
        <v>122</v>
      </c>
      <c r="F216" s="22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>
      <c r="A217" s="19" t="s">
        <v>29</v>
      </c>
      <c r="B217" s="19" t="s">
        <v>36</v>
      </c>
      <c r="C217" s="19" t="s">
        <v>145</v>
      </c>
      <c r="D217" s="20">
        <v>40.0</v>
      </c>
      <c r="E217" s="20" t="s">
        <v>122</v>
      </c>
      <c r="F217" s="22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>
      <c r="A218" s="19" t="s">
        <v>29</v>
      </c>
      <c r="B218" s="19" t="s">
        <v>36</v>
      </c>
      <c r="C218" s="19" t="s">
        <v>127</v>
      </c>
      <c r="D218" s="22"/>
      <c r="E218" s="22"/>
      <c r="F218" s="22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>
      <c r="A219" s="19" t="s">
        <v>29</v>
      </c>
      <c r="B219" s="19" t="s">
        <v>36</v>
      </c>
      <c r="C219" s="19" t="s">
        <v>135</v>
      </c>
      <c r="D219" s="22"/>
      <c r="E219" s="22"/>
      <c r="F219" s="22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>
      <c r="A220" s="19" t="s">
        <v>29</v>
      </c>
      <c r="B220" s="19" t="s">
        <v>36</v>
      </c>
      <c r="C220" s="19" t="s">
        <v>128</v>
      </c>
      <c r="D220" s="22"/>
      <c r="E220" s="22"/>
      <c r="F220" s="22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>
      <c r="A221" s="19" t="s">
        <v>37</v>
      </c>
      <c r="B221" s="19" t="s">
        <v>43</v>
      </c>
      <c r="C221" s="19" t="s">
        <v>39</v>
      </c>
      <c r="D221" s="20">
        <v>38000.0</v>
      </c>
      <c r="E221" s="20" t="s">
        <v>122</v>
      </c>
      <c r="F221" s="21">
        <v>43.0</v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>
      <c r="A222" s="19" t="s">
        <v>37</v>
      </c>
      <c r="B222" s="19" t="s">
        <v>43</v>
      </c>
      <c r="C222" s="19" t="s">
        <v>180</v>
      </c>
      <c r="D222" s="20">
        <v>2800.0</v>
      </c>
      <c r="E222" s="20" t="s">
        <v>122</v>
      </c>
      <c r="F222" s="21" t="s">
        <v>181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>
      <c r="A223" s="19" t="s">
        <v>37</v>
      </c>
      <c r="B223" s="19" t="s">
        <v>43</v>
      </c>
      <c r="C223" s="19" t="s">
        <v>159</v>
      </c>
      <c r="D223" s="20">
        <v>2200.0</v>
      </c>
      <c r="E223" s="20" t="s">
        <v>122</v>
      </c>
      <c r="F223" s="20">
        <v>38.0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>
      <c r="A224" s="19" t="s">
        <v>37</v>
      </c>
      <c r="B224" s="19" t="s">
        <v>43</v>
      </c>
      <c r="C224" s="19" t="s">
        <v>182</v>
      </c>
      <c r="D224" s="20">
        <v>200.0</v>
      </c>
      <c r="E224" s="20" t="s">
        <v>122</v>
      </c>
      <c r="F224" s="20" t="s">
        <v>183</v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>
      <c r="A225" s="19" t="s">
        <v>37</v>
      </c>
      <c r="B225" s="19" t="s">
        <v>43</v>
      </c>
      <c r="C225" s="19" t="s">
        <v>134</v>
      </c>
      <c r="D225" s="20">
        <v>1.0</v>
      </c>
      <c r="E225" s="20" t="s">
        <v>125</v>
      </c>
      <c r="F225" s="22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>
      <c r="A226" s="19" t="s">
        <v>37</v>
      </c>
      <c r="B226" s="19" t="s">
        <v>43</v>
      </c>
      <c r="C226" s="19" t="s">
        <v>124</v>
      </c>
      <c r="D226" s="20">
        <v>1.0</v>
      </c>
      <c r="E226" s="20" t="s">
        <v>125</v>
      </c>
      <c r="F226" s="22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>
      <c r="A227" s="19" t="s">
        <v>37</v>
      </c>
      <c r="B227" s="19" t="s">
        <v>43</v>
      </c>
      <c r="C227" s="19" t="s">
        <v>141</v>
      </c>
      <c r="D227" s="20">
        <v>300.0</v>
      </c>
      <c r="E227" s="20" t="s">
        <v>122</v>
      </c>
      <c r="F227" s="22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>
      <c r="A228" s="19" t="s">
        <v>37</v>
      </c>
      <c r="B228" s="19" t="s">
        <v>43</v>
      </c>
      <c r="C228" s="19" t="s">
        <v>145</v>
      </c>
      <c r="D228" s="20">
        <v>100.0</v>
      </c>
      <c r="E228" s="20" t="s">
        <v>122</v>
      </c>
      <c r="F228" s="22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>
      <c r="A229" s="19" t="s">
        <v>37</v>
      </c>
      <c r="B229" s="19" t="s">
        <v>43</v>
      </c>
      <c r="C229" s="19" t="s">
        <v>127</v>
      </c>
      <c r="D229" s="22"/>
      <c r="E229" s="22"/>
      <c r="F229" s="22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>
      <c r="A230" s="19" t="s">
        <v>37</v>
      </c>
      <c r="B230" s="19" t="s">
        <v>43</v>
      </c>
      <c r="C230" s="19" t="s">
        <v>135</v>
      </c>
      <c r="D230" s="22"/>
      <c r="E230" s="22"/>
      <c r="F230" s="22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>
      <c r="A231" s="19" t="s">
        <v>37</v>
      </c>
      <c r="B231" s="19" t="s">
        <v>43</v>
      </c>
      <c r="C231" s="19" t="s">
        <v>128</v>
      </c>
      <c r="D231" s="22"/>
      <c r="E231" s="22"/>
      <c r="F231" s="22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>
      <c r="A232" s="19" t="s">
        <v>37</v>
      </c>
      <c r="B232" s="19" t="s">
        <v>42</v>
      </c>
      <c r="C232" s="19" t="s">
        <v>39</v>
      </c>
      <c r="D232" s="20">
        <v>38000.0</v>
      </c>
      <c r="E232" s="20" t="s">
        <v>122</v>
      </c>
      <c r="F232" s="21">
        <v>43.0</v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>
      <c r="A233" s="19" t="s">
        <v>37</v>
      </c>
      <c r="B233" s="19" t="s">
        <v>42</v>
      </c>
      <c r="C233" s="19" t="s">
        <v>137</v>
      </c>
      <c r="D233" s="20">
        <v>2700.0</v>
      </c>
      <c r="E233" s="20" t="s">
        <v>122</v>
      </c>
      <c r="F233" s="21" t="s">
        <v>181</v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>
      <c r="A234" s="19" t="s">
        <v>37</v>
      </c>
      <c r="B234" s="19" t="s">
        <v>42</v>
      </c>
      <c r="C234" s="19" t="s">
        <v>134</v>
      </c>
      <c r="D234" s="20">
        <v>1.0</v>
      </c>
      <c r="E234" s="20" t="s">
        <v>125</v>
      </c>
      <c r="F234" s="20">
        <v>38.0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>
      <c r="A235" s="19" t="s">
        <v>37</v>
      </c>
      <c r="B235" s="19" t="s">
        <v>42</v>
      </c>
      <c r="C235" s="19" t="s">
        <v>124</v>
      </c>
      <c r="D235" s="20">
        <v>1.0</v>
      </c>
      <c r="E235" s="20" t="s">
        <v>125</v>
      </c>
      <c r="F235" s="20" t="s">
        <v>183</v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>
      <c r="A236" s="19" t="s">
        <v>37</v>
      </c>
      <c r="B236" s="19" t="s">
        <v>42</v>
      </c>
      <c r="C236" s="19" t="s">
        <v>144</v>
      </c>
      <c r="D236" s="20">
        <v>3000.0</v>
      </c>
      <c r="E236" s="20" t="s">
        <v>122</v>
      </c>
      <c r="F236" s="22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>
      <c r="A237" s="19" t="s">
        <v>37</v>
      </c>
      <c r="B237" s="19" t="s">
        <v>42</v>
      </c>
      <c r="C237" s="19" t="s">
        <v>145</v>
      </c>
      <c r="D237" s="20">
        <v>100.0</v>
      </c>
      <c r="E237" s="20" t="s">
        <v>122</v>
      </c>
      <c r="F237" s="22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>
      <c r="A238" s="19" t="s">
        <v>37</v>
      </c>
      <c r="B238" s="19" t="s">
        <v>42</v>
      </c>
      <c r="C238" s="19" t="s">
        <v>127</v>
      </c>
      <c r="D238" s="22"/>
      <c r="E238" s="22"/>
      <c r="F238" s="22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>
      <c r="A239" s="19" t="s">
        <v>37</v>
      </c>
      <c r="B239" s="19" t="s">
        <v>42</v>
      </c>
      <c r="C239" s="19" t="s">
        <v>135</v>
      </c>
      <c r="D239" s="22"/>
      <c r="E239" s="22"/>
      <c r="F239" s="22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>
      <c r="A240" s="19" t="s">
        <v>37</v>
      </c>
      <c r="B240" s="19" t="s">
        <v>42</v>
      </c>
      <c r="C240" s="19" t="s">
        <v>128</v>
      </c>
      <c r="D240" s="22"/>
      <c r="E240" s="22"/>
      <c r="F240" s="22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>
      <c r="A241" s="19" t="s">
        <v>37</v>
      </c>
      <c r="B241" s="19" t="s">
        <v>38</v>
      </c>
      <c r="C241" s="19" t="s">
        <v>39</v>
      </c>
      <c r="D241" s="20">
        <v>38000.0</v>
      </c>
      <c r="E241" s="20" t="s">
        <v>122</v>
      </c>
      <c r="F241" s="22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>
      <c r="A242" s="19" t="s">
        <v>37</v>
      </c>
      <c r="B242" s="19" t="s">
        <v>38</v>
      </c>
      <c r="C242" s="19" t="s">
        <v>127</v>
      </c>
      <c r="D242" s="22"/>
      <c r="E242" s="22"/>
      <c r="F242" s="22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>
      <c r="A243" s="19" t="s">
        <v>37</v>
      </c>
      <c r="B243" s="19" t="s">
        <v>40</v>
      </c>
      <c r="C243" s="19" t="s">
        <v>39</v>
      </c>
      <c r="D243" s="20">
        <v>38000.0</v>
      </c>
      <c r="E243" s="20" t="s">
        <v>122</v>
      </c>
      <c r="F243" s="21">
        <v>43.0</v>
      </c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>
      <c r="A244" s="19" t="s">
        <v>37</v>
      </c>
      <c r="B244" s="19" t="s">
        <v>40</v>
      </c>
      <c r="C244" s="19" t="s">
        <v>136</v>
      </c>
      <c r="D244" s="20">
        <v>1000.0</v>
      </c>
      <c r="E244" s="20" t="s">
        <v>122</v>
      </c>
      <c r="F244" s="21" t="s">
        <v>181</v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>
      <c r="A245" s="19" t="s">
        <v>37</v>
      </c>
      <c r="B245" s="19" t="s">
        <v>40</v>
      </c>
      <c r="C245" s="19" t="s">
        <v>123</v>
      </c>
      <c r="D245" s="20">
        <v>1000.0</v>
      </c>
      <c r="E245" s="20" t="s">
        <v>122</v>
      </c>
      <c r="F245" s="20">
        <v>38.0</v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>
      <c r="A246" s="19" t="s">
        <v>37</v>
      </c>
      <c r="B246" s="19" t="s">
        <v>40</v>
      </c>
      <c r="C246" s="19" t="s">
        <v>158</v>
      </c>
      <c r="D246" s="20">
        <v>1500.0</v>
      </c>
      <c r="E246" s="20" t="s">
        <v>122</v>
      </c>
      <c r="F246" s="20" t="s">
        <v>183</v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>
      <c r="A247" s="19" t="s">
        <v>37</v>
      </c>
      <c r="B247" s="19" t="s">
        <v>40</v>
      </c>
      <c r="C247" s="19" t="s">
        <v>145</v>
      </c>
      <c r="D247" s="20">
        <v>100.0</v>
      </c>
      <c r="E247" s="20" t="s">
        <v>122</v>
      </c>
      <c r="F247" s="22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>
      <c r="A248" s="19" t="s">
        <v>37</v>
      </c>
      <c r="B248" s="19" t="s">
        <v>40</v>
      </c>
      <c r="C248" s="19" t="s">
        <v>127</v>
      </c>
      <c r="D248" s="22"/>
      <c r="E248" s="22"/>
      <c r="F248" s="22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>
      <c r="A249" s="19" t="s">
        <v>37</v>
      </c>
      <c r="B249" s="19" t="s">
        <v>40</v>
      </c>
      <c r="C249" s="19" t="s">
        <v>128</v>
      </c>
      <c r="D249" s="22"/>
      <c r="E249" s="22"/>
      <c r="F249" s="22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>
      <c r="A250" s="19" t="s">
        <v>37</v>
      </c>
      <c r="B250" s="19" t="s">
        <v>41</v>
      </c>
      <c r="C250" s="19" t="s">
        <v>39</v>
      </c>
      <c r="D250" s="20">
        <v>38000.0</v>
      </c>
      <c r="E250" s="20" t="s">
        <v>122</v>
      </c>
      <c r="F250" s="21">
        <v>43.0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>
      <c r="A251" s="19" t="s">
        <v>37</v>
      </c>
      <c r="B251" s="19" t="s">
        <v>41</v>
      </c>
      <c r="C251" s="19" t="s">
        <v>95</v>
      </c>
      <c r="D251" s="20">
        <v>5000.0</v>
      </c>
      <c r="E251" s="20" t="s">
        <v>122</v>
      </c>
      <c r="F251" s="21" t="s">
        <v>181</v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>
      <c r="A252" s="19" t="s">
        <v>37</v>
      </c>
      <c r="B252" s="19" t="s">
        <v>41</v>
      </c>
      <c r="C252" s="19" t="s">
        <v>154</v>
      </c>
      <c r="D252" s="20">
        <v>1250.0</v>
      </c>
      <c r="E252" s="20" t="s">
        <v>122</v>
      </c>
      <c r="F252" s="20">
        <v>38.0</v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>
      <c r="A253" s="19" t="s">
        <v>37</v>
      </c>
      <c r="B253" s="19" t="s">
        <v>41</v>
      </c>
      <c r="C253" s="19" t="s">
        <v>143</v>
      </c>
      <c r="D253" s="20">
        <v>1000.0</v>
      </c>
      <c r="E253" s="20" t="s">
        <v>122</v>
      </c>
      <c r="F253" s="20" t="s">
        <v>183</v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>
      <c r="A254" s="19" t="s">
        <v>37</v>
      </c>
      <c r="B254" s="19" t="s">
        <v>41</v>
      </c>
      <c r="C254" s="19" t="s">
        <v>158</v>
      </c>
      <c r="D254" s="20">
        <v>2000.0</v>
      </c>
      <c r="E254" s="20" t="s">
        <v>122</v>
      </c>
      <c r="F254" s="22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>
      <c r="A255" s="19" t="s">
        <v>37</v>
      </c>
      <c r="B255" s="19" t="s">
        <v>41</v>
      </c>
      <c r="C255" s="19" t="s">
        <v>145</v>
      </c>
      <c r="D255" s="20">
        <v>100.0</v>
      </c>
      <c r="E255" s="20" t="s">
        <v>122</v>
      </c>
      <c r="F255" s="22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>
      <c r="A256" s="19" t="s">
        <v>37</v>
      </c>
      <c r="B256" s="19" t="s">
        <v>41</v>
      </c>
      <c r="C256" s="19" t="s">
        <v>127</v>
      </c>
      <c r="D256" s="22"/>
      <c r="E256" s="22"/>
      <c r="F256" s="22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>
      <c r="A257" s="19" t="s">
        <v>37</v>
      </c>
      <c r="B257" s="19" t="s">
        <v>41</v>
      </c>
      <c r="C257" s="19" t="s">
        <v>128</v>
      </c>
      <c r="D257" s="22"/>
      <c r="E257" s="22"/>
      <c r="F257" s="22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>
      <c r="A258" s="19" t="s">
        <v>44</v>
      </c>
      <c r="B258" s="19" t="s">
        <v>45</v>
      </c>
      <c r="C258" s="19" t="s">
        <v>46</v>
      </c>
      <c r="D258" s="20">
        <v>20000.0</v>
      </c>
      <c r="E258" s="20" t="s">
        <v>122</v>
      </c>
      <c r="F258" s="21">
        <v>20.0</v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>
      <c r="A259" s="19" t="s">
        <v>44</v>
      </c>
      <c r="B259" s="19" t="s">
        <v>45</v>
      </c>
      <c r="C259" s="19" t="s">
        <v>165</v>
      </c>
      <c r="D259" s="20">
        <v>1200.0</v>
      </c>
      <c r="E259" s="20" t="s">
        <v>122</v>
      </c>
      <c r="F259" s="21" t="s">
        <v>184</v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>
      <c r="A260" s="19" t="s">
        <v>44</v>
      </c>
      <c r="B260" s="19" t="s">
        <v>45</v>
      </c>
      <c r="C260" s="19" t="s">
        <v>144</v>
      </c>
      <c r="D260" s="20">
        <v>620.0</v>
      </c>
      <c r="E260" s="20" t="s">
        <v>122</v>
      </c>
      <c r="F260" s="22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>
      <c r="A261" s="19" t="s">
        <v>44</v>
      </c>
      <c r="B261" s="19" t="s">
        <v>45</v>
      </c>
      <c r="C261" s="19" t="s">
        <v>167</v>
      </c>
      <c r="D261" s="20">
        <v>310.0</v>
      </c>
      <c r="E261" s="20" t="s">
        <v>130</v>
      </c>
      <c r="F261" s="22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>
      <c r="A262" s="19" t="s">
        <v>44</v>
      </c>
      <c r="B262" s="19" t="s">
        <v>45</v>
      </c>
      <c r="C262" s="19" t="s">
        <v>135</v>
      </c>
      <c r="D262" s="20">
        <v>310.0</v>
      </c>
      <c r="E262" s="20" t="s">
        <v>122</v>
      </c>
      <c r="F262" s="22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>
      <c r="A263" s="19" t="s">
        <v>44</v>
      </c>
      <c r="B263" s="19" t="s">
        <v>45</v>
      </c>
      <c r="C263" s="19" t="s">
        <v>168</v>
      </c>
      <c r="D263" s="20">
        <v>220.0</v>
      </c>
      <c r="E263" s="20" t="s">
        <v>130</v>
      </c>
      <c r="F263" s="22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>
      <c r="A264" s="19" t="s">
        <v>44</v>
      </c>
      <c r="B264" s="19" t="s">
        <v>45</v>
      </c>
      <c r="C264" s="19" t="s">
        <v>169</v>
      </c>
      <c r="D264" s="20">
        <v>350.0</v>
      </c>
      <c r="E264" s="20" t="s">
        <v>122</v>
      </c>
      <c r="F264" s="22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>
      <c r="A265" s="19" t="s">
        <v>44</v>
      </c>
      <c r="B265" s="19" t="s">
        <v>45</v>
      </c>
      <c r="C265" s="19" t="s">
        <v>123</v>
      </c>
      <c r="D265" s="20">
        <v>370.0</v>
      </c>
      <c r="E265" s="20" t="s">
        <v>122</v>
      </c>
      <c r="F265" s="22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>
      <c r="A266" s="19" t="s">
        <v>44</v>
      </c>
      <c r="B266" s="19" t="s">
        <v>45</v>
      </c>
      <c r="C266" s="19" t="s">
        <v>142</v>
      </c>
      <c r="D266" s="20">
        <v>1000.0</v>
      </c>
      <c r="E266" s="20" t="s">
        <v>122</v>
      </c>
      <c r="F266" s="22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>
      <c r="A267" s="19" t="s">
        <v>44</v>
      </c>
      <c r="B267" s="19" t="s">
        <v>45</v>
      </c>
      <c r="C267" s="19" t="s">
        <v>145</v>
      </c>
      <c r="D267" s="20">
        <v>50.0</v>
      </c>
      <c r="E267" s="20" t="s">
        <v>122</v>
      </c>
      <c r="F267" s="22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>
      <c r="A268" s="19" t="s">
        <v>44</v>
      </c>
      <c r="B268" s="19" t="s">
        <v>45</v>
      </c>
      <c r="C268" s="19" t="s">
        <v>127</v>
      </c>
      <c r="D268" s="22"/>
      <c r="E268" s="22"/>
      <c r="F268" s="22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>
      <c r="A269" s="19" t="s">
        <v>44</v>
      </c>
      <c r="B269" s="19" t="s">
        <v>45</v>
      </c>
      <c r="C269" s="19" t="s">
        <v>128</v>
      </c>
      <c r="D269" s="22"/>
      <c r="E269" s="22"/>
      <c r="F269" s="22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>
      <c r="A270" s="19" t="s">
        <v>44</v>
      </c>
      <c r="B270" s="19" t="s">
        <v>47</v>
      </c>
      <c r="C270" s="19" t="s">
        <v>46</v>
      </c>
      <c r="D270" s="20">
        <v>45000.0</v>
      </c>
      <c r="E270" s="20" t="s">
        <v>122</v>
      </c>
      <c r="F270" s="21">
        <v>45.0</v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>
      <c r="A271" s="19" t="s">
        <v>44</v>
      </c>
      <c r="B271" s="19" t="s">
        <v>47</v>
      </c>
      <c r="C271" s="19" t="s">
        <v>158</v>
      </c>
      <c r="D271" s="20">
        <v>2000.0</v>
      </c>
      <c r="E271" s="20" t="s">
        <v>122</v>
      </c>
      <c r="F271" s="21" t="s">
        <v>184</v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>
      <c r="A272" s="19" t="s">
        <v>44</v>
      </c>
      <c r="B272" s="19" t="s">
        <v>47</v>
      </c>
      <c r="C272" s="19" t="s">
        <v>123</v>
      </c>
      <c r="D272" s="20">
        <v>3000.0</v>
      </c>
      <c r="E272" s="20" t="s">
        <v>122</v>
      </c>
      <c r="F272" s="22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>
      <c r="A273" s="19" t="s">
        <v>44</v>
      </c>
      <c r="B273" s="19" t="s">
        <v>47</v>
      </c>
      <c r="C273" s="19" t="s">
        <v>185</v>
      </c>
      <c r="D273" s="20">
        <v>2000.0</v>
      </c>
      <c r="E273" s="20" t="s">
        <v>122</v>
      </c>
      <c r="F273" s="22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>
      <c r="A274" s="19" t="s">
        <v>44</v>
      </c>
      <c r="B274" s="19" t="s">
        <v>47</v>
      </c>
      <c r="C274" s="19" t="s">
        <v>143</v>
      </c>
      <c r="D274" s="20">
        <v>1500.0</v>
      </c>
      <c r="E274" s="20" t="s">
        <v>122</v>
      </c>
      <c r="F274" s="22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>
      <c r="A275" s="19" t="s">
        <v>44</v>
      </c>
      <c r="B275" s="19" t="s">
        <v>47</v>
      </c>
      <c r="C275" s="19" t="s">
        <v>140</v>
      </c>
      <c r="D275" s="20">
        <v>1000.0</v>
      </c>
      <c r="E275" s="20" t="s">
        <v>122</v>
      </c>
      <c r="F275" s="22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>
      <c r="A276" s="19" t="s">
        <v>44</v>
      </c>
      <c r="B276" s="19" t="s">
        <v>47</v>
      </c>
      <c r="C276" s="19" t="s">
        <v>141</v>
      </c>
      <c r="D276" s="20">
        <v>1000.0</v>
      </c>
      <c r="E276" s="20" t="s">
        <v>122</v>
      </c>
      <c r="F276" s="22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>
      <c r="A277" s="19" t="s">
        <v>44</v>
      </c>
      <c r="B277" s="19" t="s">
        <v>47</v>
      </c>
      <c r="C277" s="19" t="s">
        <v>134</v>
      </c>
      <c r="D277" s="20">
        <v>3.0</v>
      </c>
      <c r="E277" s="20" t="s">
        <v>125</v>
      </c>
      <c r="F277" s="22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>
      <c r="A278" s="19" t="s">
        <v>44</v>
      </c>
      <c r="B278" s="19" t="s">
        <v>47</v>
      </c>
      <c r="C278" s="19" t="s">
        <v>124</v>
      </c>
      <c r="D278" s="20">
        <v>3.0</v>
      </c>
      <c r="E278" s="20" t="s">
        <v>125</v>
      </c>
      <c r="F278" s="22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>
      <c r="A279" s="19" t="s">
        <v>44</v>
      </c>
      <c r="B279" s="19" t="s">
        <v>47</v>
      </c>
      <c r="C279" s="19" t="s">
        <v>144</v>
      </c>
      <c r="D279" s="20">
        <v>1500.0</v>
      </c>
      <c r="E279" s="20" t="s">
        <v>122</v>
      </c>
      <c r="F279" s="22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>
      <c r="A280" s="19" t="s">
        <v>44</v>
      </c>
      <c r="B280" s="19" t="s">
        <v>47</v>
      </c>
      <c r="C280" s="19" t="s">
        <v>145</v>
      </c>
      <c r="D280" s="20">
        <v>125.0</v>
      </c>
      <c r="E280" s="20" t="s">
        <v>122</v>
      </c>
      <c r="F280" s="22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>
      <c r="A281" s="19" t="s">
        <v>44</v>
      </c>
      <c r="B281" s="19" t="s">
        <v>47</v>
      </c>
      <c r="C281" s="19" t="s">
        <v>127</v>
      </c>
      <c r="D281" s="22"/>
      <c r="E281" s="22"/>
      <c r="F281" s="22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>
      <c r="A282" s="19" t="s">
        <v>44</v>
      </c>
      <c r="B282" s="19" t="s">
        <v>47</v>
      </c>
      <c r="C282" s="19" t="s">
        <v>135</v>
      </c>
      <c r="D282" s="22"/>
      <c r="E282" s="22"/>
      <c r="F282" s="22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>
      <c r="A283" s="19" t="s">
        <v>44</v>
      </c>
      <c r="B283" s="19" t="s">
        <v>47</v>
      </c>
      <c r="C283" s="19" t="s">
        <v>128</v>
      </c>
      <c r="D283" s="22"/>
      <c r="E283" s="22"/>
      <c r="F283" s="22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>
      <c r="A284" s="19" t="s">
        <v>44</v>
      </c>
      <c r="B284" s="19" t="s">
        <v>48</v>
      </c>
      <c r="C284" s="19" t="s">
        <v>46</v>
      </c>
      <c r="D284" s="20">
        <v>30000.0</v>
      </c>
      <c r="E284" s="20" t="s">
        <v>122</v>
      </c>
      <c r="F284" s="21">
        <v>30.0</v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>
      <c r="A285" s="19" t="s">
        <v>44</v>
      </c>
      <c r="B285" s="19" t="s">
        <v>48</v>
      </c>
      <c r="C285" s="19" t="s">
        <v>186</v>
      </c>
      <c r="D285" s="20">
        <v>7000.0</v>
      </c>
      <c r="E285" s="20" t="s">
        <v>122</v>
      </c>
      <c r="F285" s="21" t="s">
        <v>184</v>
      </c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>
      <c r="A286" s="19" t="s">
        <v>44</v>
      </c>
      <c r="B286" s="19" t="s">
        <v>48</v>
      </c>
      <c r="C286" s="19" t="s">
        <v>134</v>
      </c>
      <c r="D286" s="20">
        <v>1.0</v>
      </c>
      <c r="E286" s="20" t="s">
        <v>125</v>
      </c>
      <c r="F286" s="22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>
      <c r="A287" s="19" t="s">
        <v>44</v>
      </c>
      <c r="B287" s="19" t="s">
        <v>48</v>
      </c>
      <c r="C287" s="19" t="s">
        <v>124</v>
      </c>
      <c r="D287" s="20">
        <v>1.0</v>
      </c>
      <c r="E287" s="20" t="s">
        <v>125</v>
      </c>
      <c r="F287" s="22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>
      <c r="A288" s="19" t="s">
        <v>44</v>
      </c>
      <c r="B288" s="19" t="s">
        <v>48</v>
      </c>
      <c r="C288" s="19" t="s">
        <v>155</v>
      </c>
      <c r="D288" s="20">
        <v>0.25</v>
      </c>
      <c r="E288" s="20" t="s">
        <v>125</v>
      </c>
      <c r="F288" s="22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>
      <c r="A289" s="19" t="s">
        <v>44</v>
      </c>
      <c r="B289" s="19" t="s">
        <v>48</v>
      </c>
      <c r="C289" s="19" t="s">
        <v>126</v>
      </c>
      <c r="D289" s="20">
        <v>100.0</v>
      </c>
      <c r="E289" s="20" t="s">
        <v>122</v>
      </c>
      <c r="F289" s="22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>
      <c r="A290" s="19" t="s">
        <v>44</v>
      </c>
      <c r="B290" s="19" t="s">
        <v>48</v>
      </c>
      <c r="C290" s="19" t="s">
        <v>133</v>
      </c>
      <c r="D290" s="20">
        <v>70.0</v>
      </c>
      <c r="E290" s="20" t="s">
        <v>122</v>
      </c>
      <c r="F290" s="22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>
      <c r="A291" s="19" t="s">
        <v>44</v>
      </c>
      <c r="B291" s="19" t="s">
        <v>48</v>
      </c>
      <c r="C291" s="19" t="s">
        <v>187</v>
      </c>
      <c r="D291" s="20">
        <v>12000.0</v>
      </c>
      <c r="E291" s="20" t="s">
        <v>130</v>
      </c>
      <c r="F291" s="22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>
      <c r="A292" s="19" t="s">
        <v>44</v>
      </c>
      <c r="B292" s="19" t="s">
        <v>48</v>
      </c>
      <c r="C292" s="19" t="s">
        <v>154</v>
      </c>
      <c r="D292" s="20">
        <v>700.0</v>
      </c>
      <c r="E292" s="20" t="s">
        <v>122</v>
      </c>
      <c r="F292" s="22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>
      <c r="A293" s="19" t="s">
        <v>44</v>
      </c>
      <c r="B293" s="19" t="s">
        <v>48</v>
      </c>
      <c r="C293" s="19" t="s">
        <v>145</v>
      </c>
      <c r="D293" s="20">
        <v>50.0</v>
      </c>
      <c r="E293" s="20" t="s">
        <v>122</v>
      </c>
      <c r="F293" s="22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>
      <c r="A294" s="19" t="s">
        <v>44</v>
      </c>
      <c r="B294" s="19" t="s">
        <v>48</v>
      </c>
      <c r="C294" s="19" t="s">
        <v>127</v>
      </c>
      <c r="D294" s="22"/>
      <c r="E294" s="22"/>
      <c r="F294" s="22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>
      <c r="A295" s="19" t="s">
        <v>44</v>
      </c>
      <c r="B295" s="19" t="s">
        <v>48</v>
      </c>
      <c r="C295" s="19" t="s">
        <v>135</v>
      </c>
      <c r="D295" s="22"/>
      <c r="E295" s="22"/>
      <c r="F295" s="22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>
      <c r="A296" s="19" t="s">
        <v>44</v>
      </c>
      <c r="B296" s="19" t="s">
        <v>48</v>
      </c>
      <c r="C296" s="19" t="s">
        <v>128</v>
      </c>
      <c r="D296" s="22"/>
      <c r="E296" s="22"/>
      <c r="F296" s="22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>
      <c r="A297" s="19" t="s">
        <v>44</v>
      </c>
      <c r="B297" s="19" t="s">
        <v>49</v>
      </c>
      <c r="C297" s="19" t="s">
        <v>46</v>
      </c>
      <c r="D297" s="20">
        <v>30000.0</v>
      </c>
      <c r="E297" s="20" t="s">
        <v>122</v>
      </c>
      <c r="F297" s="21">
        <v>30.0</v>
      </c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>
      <c r="A298" s="19" t="s">
        <v>44</v>
      </c>
      <c r="B298" s="19" t="s">
        <v>49</v>
      </c>
      <c r="C298" s="19" t="s">
        <v>137</v>
      </c>
      <c r="D298" s="20">
        <v>2250.0</v>
      </c>
      <c r="E298" s="20" t="s">
        <v>122</v>
      </c>
      <c r="F298" s="21" t="s">
        <v>184</v>
      </c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>
      <c r="A299" s="19" t="s">
        <v>44</v>
      </c>
      <c r="B299" s="19" t="s">
        <v>49</v>
      </c>
      <c r="C299" s="19" t="s">
        <v>134</v>
      </c>
      <c r="D299" s="20">
        <v>1.0</v>
      </c>
      <c r="E299" s="20" t="s">
        <v>125</v>
      </c>
      <c r="F299" s="22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>
      <c r="A300" s="19" t="s">
        <v>44</v>
      </c>
      <c r="B300" s="19" t="s">
        <v>49</v>
      </c>
      <c r="C300" s="19" t="s">
        <v>124</v>
      </c>
      <c r="D300" s="20">
        <v>1.0</v>
      </c>
      <c r="E300" s="20" t="s">
        <v>125</v>
      </c>
      <c r="F300" s="22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>
      <c r="A301" s="19" t="s">
        <v>44</v>
      </c>
      <c r="B301" s="19" t="s">
        <v>49</v>
      </c>
      <c r="C301" s="19" t="s">
        <v>144</v>
      </c>
      <c r="D301" s="20">
        <v>3000.0</v>
      </c>
      <c r="E301" s="20" t="s">
        <v>122</v>
      </c>
      <c r="F301" s="22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>
      <c r="A302" s="19" t="s">
        <v>44</v>
      </c>
      <c r="B302" s="19" t="s">
        <v>49</v>
      </c>
      <c r="C302" s="19" t="s">
        <v>145</v>
      </c>
      <c r="D302" s="20">
        <v>75.0</v>
      </c>
      <c r="E302" s="20" t="s">
        <v>122</v>
      </c>
      <c r="F302" s="22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>
      <c r="A303" s="19" t="s">
        <v>44</v>
      </c>
      <c r="B303" s="19" t="s">
        <v>49</v>
      </c>
      <c r="C303" s="19" t="s">
        <v>127</v>
      </c>
      <c r="D303" s="22"/>
      <c r="E303" s="22"/>
      <c r="F303" s="22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>
      <c r="A304" s="19" t="s">
        <v>44</v>
      </c>
      <c r="B304" s="19" t="s">
        <v>49</v>
      </c>
      <c r="C304" s="19" t="s">
        <v>135</v>
      </c>
      <c r="D304" s="22"/>
      <c r="E304" s="22"/>
      <c r="F304" s="22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>
      <c r="A305" s="19" t="s">
        <v>44</v>
      </c>
      <c r="B305" s="19" t="s">
        <v>49</v>
      </c>
      <c r="C305" s="19" t="s">
        <v>128</v>
      </c>
      <c r="D305" s="22"/>
      <c r="E305" s="22"/>
      <c r="F305" s="21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>
      <c r="A306" s="19" t="s">
        <v>50</v>
      </c>
      <c r="B306" s="19" t="s">
        <v>56</v>
      </c>
      <c r="C306" s="19" t="s">
        <v>57</v>
      </c>
      <c r="D306" s="20">
        <v>20000.0</v>
      </c>
      <c r="E306" s="20" t="s">
        <v>122</v>
      </c>
      <c r="F306" s="21">
        <v>20.0</v>
      </c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>
      <c r="A307" s="19" t="s">
        <v>50</v>
      </c>
      <c r="B307" s="19" t="s">
        <v>56</v>
      </c>
      <c r="C307" s="19" t="s">
        <v>39</v>
      </c>
      <c r="D307" s="20">
        <v>82.0</v>
      </c>
      <c r="E307" s="20" t="s">
        <v>122</v>
      </c>
      <c r="F307" s="21" t="s">
        <v>188</v>
      </c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>
      <c r="A308" s="19" t="s">
        <v>50</v>
      </c>
      <c r="B308" s="19" t="s">
        <v>56</v>
      </c>
      <c r="C308" s="19" t="s">
        <v>147</v>
      </c>
      <c r="D308" s="20">
        <v>4400.0</v>
      </c>
      <c r="E308" s="20" t="s">
        <v>122</v>
      </c>
      <c r="F308" s="22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>
      <c r="A309" s="19" t="s">
        <v>50</v>
      </c>
      <c r="B309" s="19" t="s">
        <v>56</v>
      </c>
      <c r="C309" s="19" t="s">
        <v>148</v>
      </c>
      <c r="D309" s="20">
        <v>900.0</v>
      </c>
      <c r="E309" s="20" t="s">
        <v>122</v>
      </c>
      <c r="F309" s="22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>
      <c r="A310" s="19" t="s">
        <v>50</v>
      </c>
      <c r="B310" s="19" t="s">
        <v>56</v>
      </c>
      <c r="C310" s="19" t="s">
        <v>149</v>
      </c>
      <c r="D310" s="20">
        <v>800.0</v>
      </c>
      <c r="E310" s="20" t="s">
        <v>122</v>
      </c>
      <c r="F310" s="22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>
      <c r="A311" s="19" t="s">
        <v>50</v>
      </c>
      <c r="B311" s="19" t="s">
        <v>56</v>
      </c>
      <c r="C311" s="19" t="s">
        <v>150</v>
      </c>
      <c r="D311" s="20">
        <v>800.0</v>
      </c>
      <c r="E311" s="20" t="s">
        <v>122</v>
      </c>
      <c r="F311" s="22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>
      <c r="A312" s="19" t="s">
        <v>50</v>
      </c>
      <c r="B312" s="19" t="s">
        <v>56</v>
      </c>
      <c r="C312" s="19" t="s">
        <v>151</v>
      </c>
      <c r="D312" s="20">
        <v>400.0</v>
      </c>
      <c r="E312" s="20" t="s">
        <v>122</v>
      </c>
      <c r="F312" s="22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>
      <c r="A313" s="19" t="s">
        <v>50</v>
      </c>
      <c r="B313" s="19" t="s">
        <v>56</v>
      </c>
      <c r="C313" s="19" t="s">
        <v>145</v>
      </c>
      <c r="D313" s="20">
        <v>40.0</v>
      </c>
      <c r="E313" s="20" t="s">
        <v>122</v>
      </c>
      <c r="F313" s="22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>
      <c r="A314" s="19" t="s">
        <v>50</v>
      </c>
      <c r="B314" s="19" t="s">
        <v>56</v>
      </c>
      <c r="C314" s="19" t="s">
        <v>127</v>
      </c>
      <c r="D314" s="22"/>
      <c r="E314" s="22"/>
      <c r="F314" s="22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>
      <c r="A315" s="19" t="s">
        <v>50</v>
      </c>
      <c r="B315" s="19" t="s">
        <v>56</v>
      </c>
      <c r="C315" s="19" t="s">
        <v>128</v>
      </c>
      <c r="D315" s="22"/>
      <c r="E315" s="22"/>
      <c r="F315" s="21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>
      <c r="A316" s="19" t="s">
        <v>50</v>
      </c>
      <c r="B316" s="19" t="s">
        <v>51</v>
      </c>
      <c r="C316" s="19" t="s">
        <v>52</v>
      </c>
      <c r="D316" s="20">
        <v>56000.0</v>
      </c>
      <c r="E316" s="20" t="s">
        <v>122</v>
      </c>
      <c r="F316" s="21">
        <v>70.0</v>
      </c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>
      <c r="A317" s="19" t="s">
        <v>50</v>
      </c>
      <c r="B317" s="19" t="s">
        <v>51</v>
      </c>
      <c r="C317" s="19" t="s">
        <v>131</v>
      </c>
      <c r="D317" s="20">
        <v>2000.0</v>
      </c>
      <c r="E317" s="20" t="s">
        <v>122</v>
      </c>
      <c r="F317" s="21" t="s">
        <v>189</v>
      </c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>
      <c r="A318" s="19" t="s">
        <v>50</v>
      </c>
      <c r="B318" s="19" t="s">
        <v>51</v>
      </c>
      <c r="C318" s="19" t="s">
        <v>190</v>
      </c>
      <c r="D318" s="20">
        <v>2500.0</v>
      </c>
      <c r="E318" s="20" t="s">
        <v>122</v>
      </c>
      <c r="F318" s="22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>
      <c r="A319" s="19" t="s">
        <v>50</v>
      </c>
      <c r="B319" s="19" t="s">
        <v>51</v>
      </c>
      <c r="C319" s="19" t="s">
        <v>159</v>
      </c>
      <c r="D319" s="20">
        <v>1500.0</v>
      </c>
      <c r="E319" s="20" t="s">
        <v>122</v>
      </c>
      <c r="F319" s="22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>
      <c r="A320" s="19" t="s">
        <v>50</v>
      </c>
      <c r="B320" s="19" t="s">
        <v>51</v>
      </c>
      <c r="C320" s="19" t="s">
        <v>158</v>
      </c>
      <c r="D320" s="20">
        <v>1000.0</v>
      </c>
      <c r="E320" s="20" t="s">
        <v>122</v>
      </c>
      <c r="F320" s="22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>
      <c r="A321" s="19" t="s">
        <v>50</v>
      </c>
      <c r="B321" s="19" t="s">
        <v>51</v>
      </c>
      <c r="C321" s="19" t="s">
        <v>143</v>
      </c>
      <c r="D321" s="20">
        <v>1000.0</v>
      </c>
      <c r="E321" s="20" t="s">
        <v>122</v>
      </c>
      <c r="F321" s="22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>
      <c r="A322" s="19" t="s">
        <v>50</v>
      </c>
      <c r="B322" s="19" t="s">
        <v>51</v>
      </c>
      <c r="C322" s="19" t="s">
        <v>145</v>
      </c>
      <c r="D322" s="20">
        <v>100.0</v>
      </c>
      <c r="E322" s="20" t="s">
        <v>122</v>
      </c>
      <c r="F322" s="22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>
      <c r="A323" s="19" t="s">
        <v>50</v>
      </c>
      <c r="B323" s="19" t="s">
        <v>51</v>
      </c>
      <c r="C323" s="19" t="s">
        <v>127</v>
      </c>
      <c r="D323" s="22"/>
      <c r="E323" s="22"/>
      <c r="F323" s="22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>
      <c r="A324" s="19" t="s">
        <v>50</v>
      </c>
      <c r="B324" s="19" t="s">
        <v>51</v>
      </c>
      <c r="C324" s="19" t="s">
        <v>135</v>
      </c>
      <c r="D324" s="22"/>
      <c r="E324" s="22"/>
      <c r="F324" s="22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>
      <c r="A325" s="19" t="s">
        <v>50</v>
      </c>
      <c r="B325" s="19" t="s">
        <v>51</v>
      </c>
      <c r="C325" s="19" t="s">
        <v>128</v>
      </c>
      <c r="D325" s="22"/>
      <c r="E325" s="22"/>
      <c r="F325" s="21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>
      <c r="A326" s="19" t="s">
        <v>50</v>
      </c>
      <c r="B326" s="19" t="s">
        <v>53</v>
      </c>
      <c r="C326" s="19" t="s">
        <v>54</v>
      </c>
      <c r="D326" s="20">
        <v>36000.0</v>
      </c>
      <c r="E326" s="20" t="s">
        <v>122</v>
      </c>
      <c r="F326" s="21">
        <v>45.0</v>
      </c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>
      <c r="A327" s="19" t="s">
        <v>50</v>
      </c>
      <c r="B327" s="19" t="s">
        <v>53</v>
      </c>
      <c r="C327" s="19" t="s">
        <v>134</v>
      </c>
      <c r="D327" s="20">
        <v>2.0</v>
      </c>
      <c r="E327" s="20" t="s">
        <v>125</v>
      </c>
      <c r="F327" s="21" t="s">
        <v>191</v>
      </c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>
      <c r="A328" s="19" t="s">
        <v>50</v>
      </c>
      <c r="B328" s="19" t="s">
        <v>53</v>
      </c>
      <c r="C328" s="19" t="s">
        <v>124</v>
      </c>
      <c r="D328" s="20">
        <v>2.0</v>
      </c>
      <c r="E328" s="20" t="s">
        <v>125</v>
      </c>
      <c r="F328" s="20">
        <v>30.0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>
      <c r="A329" s="19" t="s">
        <v>50</v>
      </c>
      <c r="B329" s="19" t="s">
        <v>53</v>
      </c>
      <c r="C329" s="19" t="s">
        <v>140</v>
      </c>
      <c r="D329" s="20">
        <v>500.0</v>
      </c>
      <c r="E329" s="20" t="s">
        <v>122</v>
      </c>
      <c r="F329" s="20" t="s">
        <v>192</v>
      </c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>
      <c r="A330" s="19" t="s">
        <v>50</v>
      </c>
      <c r="B330" s="19" t="s">
        <v>53</v>
      </c>
      <c r="C330" s="19" t="s">
        <v>131</v>
      </c>
      <c r="D330" s="20">
        <v>5000.0</v>
      </c>
      <c r="E330" s="20" t="s">
        <v>122</v>
      </c>
      <c r="F330" s="22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>
      <c r="A331" s="19" t="s">
        <v>50</v>
      </c>
      <c r="B331" s="19" t="s">
        <v>53</v>
      </c>
      <c r="C331" s="19" t="s">
        <v>145</v>
      </c>
      <c r="D331" s="20">
        <v>70.0</v>
      </c>
      <c r="E331" s="20" t="s">
        <v>122</v>
      </c>
      <c r="F331" s="22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>
      <c r="A332" s="19" t="s">
        <v>50</v>
      </c>
      <c r="B332" s="19" t="s">
        <v>53</v>
      </c>
      <c r="C332" s="19" t="s">
        <v>127</v>
      </c>
      <c r="D332" s="22"/>
      <c r="E332" s="22"/>
      <c r="F332" s="22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>
      <c r="A333" s="19" t="s">
        <v>50</v>
      </c>
      <c r="B333" s="19" t="s">
        <v>53</v>
      </c>
      <c r="C333" s="19" t="s">
        <v>135</v>
      </c>
      <c r="D333" s="22"/>
      <c r="E333" s="22"/>
      <c r="F333" s="22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>
      <c r="A334" s="19" t="s">
        <v>50</v>
      </c>
      <c r="B334" s="19" t="s">
        <v>53</v>
      </c>
      <c r="C334" s="19" t="s">
        <v>128</v>
      </c>
      <c r="D334" s="22"/>
      <c r="E334" s="22"/>
      <c r="F334" s="21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>
      <c r="A335" s="19" t="s">
        <v>50</v>
      </c>
      <c r="B335" s="19" t="s">
        <v>55</v>
      </c>
      <c r="C335" s="19" t="s">
        <v>54</v>
      </c>
      <c r="D335" s="20">
        <v>36000.0</v>
      </c>
      <c r="E335" s="20" t="s">
        <v>122</v>
      </c>
      <c r="F335" s="21">
        <v>45.0</v>
      </c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>
      <c r="A336" s="19" t="s">
        <v>50</v>
      </c>
      <c r="B336" s="19" t="s">
        <v>55</v>
      </c>
      <c r="C336" s="19" t="s">
        <v>134</v>
      </c>
      <c r="D336" s="20">
        <v>2.0</v>
      </c>
      <c r="E336" s="20" t="s">
        <v>125</v>
      </c>
      <c r="F336" s="21" t="s">
        <v>191</v>
      </c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>
      <c r="A337" s="19" t="s">
        <v>50</v>
      </c>
      <c r="B337" s="19" t="s">
        <v>55</v>
      </c>
      <c r="C337" s="19" t="s">
        <v>124</v>
      </c>
      <c r="D337" s="20">
        <v>2.0</v>
      </c>
      <c r="E337" s="20" t="s">
        <v>125</v>
      </c>
      <c r="F337" s="20">
        <v>30.0</v>
      </c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>
      <c r="A338" s="19" t="s">
        <v>50</v>
      </c>
      <c r="B338" s="19" t="s">
        <v>55</v>
      </c>
      <c r="C338" s="19" t="s">
        <v>140</v>
      </c>
      <c r="D338" s="20">
        <v>500.0</v>
      </c>
      <c r="E338" s="20" t="s">
        <v>122</v>
      </c>
      <c r="F338" s="20" t="s">
        <v>192</v>
      </c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>
      <c r="A339" s="19" t="s">
        <v>50</v>
      </c>
      <c r="B339" s="19" t="s">
        <v>55</v>
      </c>
      <c r="C339" s="19" t="s">
        <v>131</v>
      </c>
      <c r="D339" s="20">
        <v>5000.0</v>
      </c>
      <c r="E339" s="20" t="s">
        <v>122</v>
      </c>
      <c r="F339" s="22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>
      <c r="A340" s="19" t="s">
        <v>50</v>
      </c>
      <c r="B340" s="19" t="s">
        <v>55</v>
      </c>
      <c r="C340" s="19" t="s">
        <v>145</v>
      </c>
      <c r="D340" s="20">
        <v>70.0</v>
      </c>
      <c r="E340" s="20" t="s">
        <v>122</v>
      </c>
      <c r="F340" s="22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>
      <c r="A341" s="19" t="s">
        <v>50</v>
      </c>
      <c r="B341" s="19" t="s">
        <v>55</v>
      </c>
      <c r="C341" s="19" t="s">
        <v>127</v>
      </c>
      <c r="D341" s="22"/>
      <c r="E341" s="22"/>
      <c r="F341" s="22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>
      <c r="A342" s="19" t="s">
        <v>50</v>
      </c>
      <c r="B342" s="19" t="s">
        <v>55</v>
      </c>
      <c r="C342" s="19" t="s">
        <v>135</v>
      </c>
      <c r="D342" s="22"/>
      <c r="E342" s="22"/>
      <c r="F342" s="22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>
      <c r="A343" s="19" t="s">
        <v>50</v>
      </c>
      <c r="B343" s="19" t="s">
        <v>55</v>
      </c>
      <c r="C343" s="19" t="s">
        <v>128</v>
      </c>
      <c r="D343" s="22"/>
      <c r="E343" s="22"/>
      <c r="F343" s="21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>
      <c r="A344" s="19" t="s">
        <v>58</v>
      </c>
      <c r="B344" s="19" t="s">
        <v>62</v>
      </c>
      <c r="C344" s="19" t="s">
        <v>193</v>
      </c>
      <c r="D344" s="20">
        <v>7750.0</v>
      </c>
      <c r="E344" s="20" t="s">
        <v>122</v>
      </c>
      <c r="F344" s="21">
        <v>7750.0</v>
      </c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>
      <c r="A345" s="19" t="s">
        <v>58</v>
      </c>
      <c r="B345" s="19" t="s">
        <v>62</v>
      </c>
      <c r="C345" s="19" t="s">
        <v>75</v>
      </c>
      <c r="D345" s="20">
        <v>525.0</v>
      </c>
      <c r="E345" s="20" t="s">
        <v>122</v>
      </c>
      <c r="F345" s="21" t="s">
        <v>194</v>
      </c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>
      <c r="A346" s="19" t="s">
        <v>58</v>
      </c>
      <c r="B346" s="19" t="s">
        <v>62</v>
      </c>
      <c r="C346" s="19" t="s">
        <v>158</v>
      </c>
      <c r="D346" s="20">
        <v>250.0</v>
      </c>
      <c r="E346" s="20" t="s">
        <v>122</v>
      </c>
      <c r="F346" s="22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>
      <c r="A347" s="19" t="s">
        <v>58</v>
      </c>
      <c r="B347" s="19" t="s">
        <v>62</v>
      </c>
      <c r="C347" s="19" t="s">
        <v>195</v>
      </c>
      <c r="D347" s="20">
        <v>100.0</v>
      </c>
      <c r="E347" s="20" t="s">
        <v>122</v>
      </c>
      <c r="F347" s="22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>
      <c r="A348" s="19" t="s">
        <v>58</v>
      </c>
      <c r="B348" s="19" t="s">
        <v>62</v>
      </c>
      <c r="C348" s="19" t="s">
        <v>123</v>
      </c>
      <c r="D348" s="20">
        <v>100.0</v>
      </c>
      <c r="E348" s="20" t="s">
        <v>122</v>
      </c>
      <c r="F348" s="22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>
      <c r="A349" s="19" t="s">
        <v>58</v>
      </c>
      <c r="B349" s="19" t="s">
        <v>62</v>
      </c>
      <c r="C349" s="19" t="s">
        <v>39</v>
      </c>
      <c r="D349" s="20">
        <v>2225.0</v>
      </c>
      <c r="E349" s="20" t="s">
        <v>122</v>
      </c>
      <c r="F349" s="22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>
      <c r="A350" s="19" t="s">
        <v>58</v>
      </c>
      <c r="B350" s="19" t="s">
        <v>62</v>
      </c>
      <c r="C350" s="19" t="s">
        <v>196</v>
      </c>
      <c r="D350" s="20">
        <v>1400.0</v>
      </c>
      <c r="E350" s="20" t="s">
        <v>122</v>
      </c>
      <c r="F350" s="22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>
      <c r="A351" s="19" t="s">
        <v>58</v>
      </c>
      <c r="B351" s="19" t="s">
        <v>62</v>
      </c>
      <c r="C351" s="19" t="s">
        <v>197</v>
      </c>
      <c r="D351" s="20">
        <v>250.0</v>
      </c>
      <c r="E351" s="20" t="s">
        <v>122</v>
      </c>
      <c r="F351" s="22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>
      <c r="A352" s="19" t="s">
        <v>58</v>
      </c>
      <c r="B352" s="19" t="s">
        <v>62</v>
      </c>
      <c r="C352" s="19" t="s">
        <v>145</v>
      </c>
      <c r="D352" s="20">
        <v>50.0</v>
      </c>
      <c r="E352" s="20" t="s">
        <v>122</v>
      </c>
      <c r="F352" s="22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>
      <c r="A353" s="19" t="s">
        <v>58</v>
      </c>
      <c r="B353" s="19" t="s">
        <v>62</v>
      </c>
      <c r="C353" s="19" t="s">
        <v>127</v>
      </c>
      <c r="D353" s="22"/>
      <c r="E353" s="22"/>
      <c r="F353" s="22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>
      <c r="A354" s="19" t="s">
        <v>58</v>
      </c>
      <c r="B354" s="19" t="s">
        <v>62</v>
      </c>
      <c r="C354" s="19" t="s">
        <v>128</v>
      </c>
      <c r="D354" s="22"/>
      <c r="E354" s="22"/>
      <c r="F354" s="21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>
      <c r="A355" s="19" t="s">
        <v>58</v>
      </c>
      <c r="B355" s="19" t="s">
        <v>59</v>
      </c>
      <c r="C355" s="19" t="s">
        <v>193</v>
      </c>
      <c r="D355" s="20">
        <v>50.0</v>
      </c>
      <c r="E355" s="20" t="s">
        <v>122</v>
      </c>
      <c r="F355" s="21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>
      <c r="A356" s="19" t="s">
        <v>58</v>
      </c>
      <c r="B356" s="19" t="s">
        <v>61</v>
      </c>
      <c r="C356" s="19" t="s">
        <v>193</v>
      </c>
      <c r="D356" s="20">
        <v>31500.0</v>
      </c>
      <c r="E356" s="20" t="s">
        <v>122</v>
      </c>
      <c r="F356" s="21">
        <v>31500.0</v>
      </c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>
      <c r="A357" s="19" t="s">
        <v>58</v>
      </c>
      <c r="B357" s="19" t="s">
        <v>61</v>
      </c>
      <c r="C357" s="19" t="s">
        <v>123</v>
      </c>
      <c r="D357" s="20">
        <v>470.0</v>
      </c>
      <c r="E357" s="20" t="s">
        <v>122</v>
      </c>
      <c r="F357" s="21" t="s">
        <v>194</v>
      </c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>
      <c r="A358" s="19" t="s">
        <v>58</v>
      </c>
      <c r="B358" s="19" t="s">
        <v>61</v>
      </c>
      <c r="C358" s="19" t="s">
        <v>142</v>
      </c>
      <c r="D358" s="20">
        <v>3150.0</v>
      </c>
      <c r="E358" s="20" t="s">
        <v>122</v>
      </c>
      <c r="F358" s="22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>
      <c r="A359" s="19" t="s">
        <v>58</v>
      </c>
      <c r="B359" s="19" t="s">
        <v>61</v>
      </c>
      <c r="C359" s="19" t="s">
        <v>143</v>
      </c>
      <c r="D359" s="20">
        <v>700.0</v>
      </c>
      <c r="E359" s="20" t="s">
        <v>122</v>
      </c>
      <c r="F359" s="22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>
      <c r="A360" s="19" t="s">
        <v>58</v>
      </c>
      <c r="B360" s="19" t="s">
        <v>61</v>
      </c>
      <c r="C360" s="19" t="s">
        <v>159</v>
      </c>
      <c r="D360" s="20">
        <v>4725.0</v>
      </c>
      <c r="E360" s="20" t="s">
        <v>122</v>
      </c>
      <c r="F360" s="22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>
      <c r="A361" s="19" t="s">
        <v>58</v>
      </c>
      <c r="B361" s="19" t="s">
        <v>61</v>
      </c>
      <c r="C361" s="19" t="s">
        <v>135</v>
      </c>
      <c r="D361" s="20">
        <v>790.0</v>
      </c>
      <c r="E361" s="20" t="s">
        <v>122</v>
      </c>
      <c r="F361" s="22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>
      <c r="A362" s="19" t="s">
        <v>58</v>
      </c>
      <c r="B362" s="19" t="s">
        <v>61</v>
      </c>
      <c r="C362" s="19" t="s">
        <v>176</v>
      </c>
      <c r="D362" s="20">
        <v>945.0</v>
      </c>
      <c r="E362" s="20" t="s">
        <v>130</v>
      </c>
      <c r="F362" s="22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>
      <c r="A363" s="19" t="s">
        <v>58</v>
      </c>
      <c r="B363" s="19" t="s">
        <v>61</v>
      </c>
      <c r="C363" s="19" t="s">
        <v>144</v>
      </c>
      <c r="D363" s="20">
        <v>1890.0</v>
      </c>
      <c r="E363" s="20" t="s">
        <v>122</v>
      </c>
      <c r="F363" s="22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>
      <c r="A364" s="19" t="s">
        <v>58</v>
      </c>
      <c r="B364" s="19" t="s">
        <v>61</v>
      </c>
      <c r="C364" s="19" t="s">
        <v>169</v>
      </c>
      <c r="D364" s="20">
        <v>945.0</v>
      </c>
      <c r="E364" s="20" t="s">
        <v>122</v>
      </c>
      <c r="F364" s="22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>
      <c r="A365" s="19" t="s">
        <v>58</v>
      </c>
      <c r="B365" s="19" t="s">
        <v>61</v>
      </c>
      <c r="C365" s="19" t="s">
        <v>172</v>
      </c>
      <c r="D365" s="20">
        <v>1890.0</v>
      </c>
      <c r="E365" s="20" t="s">
        <v>122</v>
      </c>
      <c r="F365" s="22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>
      <c r="A366" s="19" t="s">
        <v>58</v>
      </c>
      <c r="B366" s="19" t="s">
        <v>61</v>
      </c>
      <c r="C366" s="19" t="s">
        <v>127</v>
      </c>
      <c r="D366" s="20">
        <v>400.0</v>
      </c>
      <c r="E366" s="20" t="s">
        <v>122</v>
      </c>
      <c r="F366" s="22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>
      <c r="A367" s="19" t="s">
        <v>58</v>
      </c>
      <c r="B367" s="19" t="s">
        <v>61</v>
      </c>
      <c r="C367" s="19" t="s">
        <v>128</v>
      </c>
      <c r="D367" s="20">
        <v>200.0</v>
      </c>
      <c r="E367" s="20" t="s">
        <v>122</v>
      </c>
      <c r="F367" s="22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>
      <c r="A368" s="19" t="s">
        <v>63</v>
      </c>
      <c r="B368" s="19" t="s">
        <v>67</v>
      </c>
      <c r="C368" s="19" t="s">
        <v>65</v>
      </c>
      <c r="D368" s="20">
        <v>500.0</v>
      </c>
      <c r="E368" s="20" t="s">
        <v>122</v>
      </c>
      <c r="F368" s="20">
        <v>500.0</v>
      </c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>
      <c r="A369" s="19" t="s">
        <v>63</v>
      </c>
      <c r="B369" s="19" t="s">
        <v>67</v>
      </c>
      <c r="C369" s="19" t="s">
        <v>143</v>
      </c>
      <c r="D369" s="20">
        <v>6.0</v>
      </c>
      <c r="E369" s="20" t="s">
        <v>122</v>
      </c>
      <c r="F369" s="20" t="s">
        <v>198</v>
      </c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>
      <c r="A370" s="19" t="s">
        <v>63</v>
      </c>
      <c r="B370" s="19" t="s">
        <v>67</v>
      </c>
      <c r="C370" s="19" t="s">
        <v>136</v>
      </c>
      <c r="D370" s="20">
        <v>18.0</v>
      </c>
      <c r="E370" s="20" t="s">
        <v>122</v>
      </c>
      <c r="F370" s="22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>
      <c r="A371" s="19" t="s">
        <v>63</v>
      </c>
      <c r="B371" s="19" t="s">
        <v>67</v>
      </c>
      <c r="C371" s="19" t="s">
        <v>123</v>
      </c>
      <c r="D371" s="20">
        <v>9.0</v>
      </c>
      <c r="E371" s="20" t="s">
        <v>122</v>
      </c>
      <c r="F371" s="22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>
      <c r="A372" s="19" t="s">
        <v>63</v>
      </c>
      <c r="B372" s="19" t="s">
        <v>67</v>
      </c>
      <c r="C372" s="19" t="s">
        <v>141</v>
      </c>
      <c r="D372" s="20">
        <v>18.0</v>
      </c>
      <c r="E372" s="20" t="s">
        <v>122</v>
      </c>
      <c r="F372" s="22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>
      <c r="A373" s="19" t="s">
        <v>63</v>
      </c>
      <c r="B373" s="19" t="s">
        <v>67</v>
      </c>
      <c r="C373" s="19" t="s">
        <v>140</v>
      </c>
      <c r="D373" s="20">
        <v>6.0</v>
      </c>
      <c r="E373" s="20" t="s">
        <v>122</v>
      </c>
      <c r="F373" s="22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>
      <c r="A374" s="19" t="s">
        <v>63</v>
      </c>
      <c r="B374" s="19" t="s">
        <v>67</v>
      </c>
      <c r="C374" s="19" t="s">
        <v>126</v>
      </c>
      <c r="D374" s="20">
        <v>4.0</v>
      </c>
      <c r="E374" s="20" t="s">
        <v>122</v>
      </c>
      <c r="F374" s="22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>
      <c r="A375" s="19" t="s">
        <v>63</v>
      </c>
      <c r="B375" s="19" t="s">
        <v>67</v>
      </c>
      <c r="C375" s="19" t="s">
        <v>199</v>
      </c>
      <c r="D375" s="20">
        <v>15.0</v>
      </c>
      <c r="E375" s="20" t="s">
        <v>122</v>
      </c>
      <c r="F375" s="22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>
      <c r="A376" s="19" t="s">
        <v>63</v>
      </c>
      <c r="B376" s="19" t="s">
        <v>67</v>
      </c>
      <c r="C376" s="19" t="s">
        <v>200</v>
      </c>
      <c r="D376" s="20">
        <v>10.0</v>
      </c>
      <c r="E376" s="20" t="s">
        <v>122</v>
      </c>
      <c r="F376" s="22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>
      <c r="A377" s="19" t="s">
        <v>63</v>
      </c>
      <c r="B377" s="19" t="s">
        <v>67</v>
      </c>
      <c r="C377" s="19" t="s">
        <v>144</v>
      </c>
      <c r="D377" s="20">
        <v>30.0</v>
      </c>
      <c r="E377" s="20" t="s">
        <v>122</v>
      </c>
      <c r="F377" s="22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>
      <c r="A378" s="19" t="s">
        <v>63</v>
      </c>
      <c r="B378" s="19" t="s">
        <v>67</v>
      </c>
      <c r="C378" s="19" t="s">
        <v>182</v>
      </c>
      <c r="D378" s="20">
        <v>30.0</v>
      </c>
      <c r="E378" s="20" t="s">
        <v>122</v>
      </c>
      <c r="F378" s="22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>
      <c r="A379" s="19" t="s">
        <v>63</v>
      </c>
      <c r="B379" s="19" t="s">
        <v>67</v>
      </c>
      <c r="C379" s="19" t="s">
        <v>127</v>
      </c>
      <c r="D379" s="20">
        <v>2.5</v>
      </c>
      <c r="E379" s="20" t="s">
        <v>122</v>
      </c>
      <c r="F379" s="22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>
      <c r="A380" s="19" t="s">
        <v>63</v>
      </c>
      <c r="B380" s="19" t="s">
        <v>64</v>
      </c>
      <c r="C380" s="19" t="s">
        <v>65</v>
      </c>
      <c r="D380" s="20">
        <v>66000.0</v>
      </c>
      <c r="E380" s="20" t="s">
        <v>122</v>
      </c>
      <c r="F380" s="21">
        <v>66.0</v>
      </c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>
      <c r="A381" s="19" t="s">
        <v>63</v>
      </c>
      <c r="B381" s="19" t="s">
        <v>64</v>
      </c>
      <c r="C381" s="19" t="s">
        <v>133</v>
      </c>
      <c r="D381" s="20">
        <v>400.0</v>
      </c>
      <c r="E381" s="20" t="s">
        <v>122</v>
      </c>
      <c r="F381" s="21" t="s">
        <v>201</v>
      </c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>
      <c r="A382" s="19" t="s">
        <v>63</v>
      </c>
      <c r="B382" s="19" t="s">
        <v>64</v>
      </c>
      <c r="C382" s="19" t="s">
        <v>127</v>
      </c>
      <c r="D382" s="20">
        <v>500.0</v>
      </c>
      <c r="E382" s="20" t="s">
        <v>122</v>
      </c>
      <c r="F382" s="22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>
      <c r="A383" s="19" t="s">
        <v>63</v>
      </c>
      <c r="B383" s="19" t="s">
        <v>64</v>
      </c>
      <c r="C383" s="19" t="s">
        <v>128</v>
      </c>
      <c r="D383" s="20">
        <v>300.0</v>
      </c>
      <c r="E383" s="20" t="s">
        <v>122</v>
      </c>
      <c r="F383" s="22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>
      <c r="A384" s="19" t="s">
        <v>63</v>
      </c>
      <c r="B384" s="19" t="s">
        <v>66</v>
      </c>
      <c r="C384" s="19" t="s">
        <v>65</v>
      </c>
      <c r="D384" s="20">
        <v>66000.0</v>
      </c>
      <c r="E384" s="20" t="s">
        <v>122</v>
      </c>
      <c r="F384" s="21">
        <v>66.0</v>
      </c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>
      <c r="A385" s="19" t="s">
        <v>63</v>
      </c>
      <c r="B385" s="19" t="s">
        <v>66</v>
      </c>
      <c r="C385" s="19" t="s">
        <v>202</v>
      </c>
      <c r="D385" s="20">
        <v>17600.0</v>
      </c>
      <c r="E385" s="20" t="s">
        <v>122</v>
      </c>
      <c r="F385" s="21" t="s">
        <v>201</v>
      </c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>
      <c r="A386" s="19" t="s">
        <v>63</v>
      </c>
      <c r="B386" s="19" t="s">
        <v>66</v>
      </c>
      <c r="C386" s="19" t="s">
        <v>131</v>
      </c>
      <c r="D386" s="20">
        <v>700.0</v>
      </c>
      <c r="E386" s="20" t="s">
        <v>122</v>
      </c>
      <c r="F386" s="22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>
      <c r="A387" s="19" t="s">
        <v>63</v>
      </c>
      <c r="B387" s="19" t="s">
        <v>66</v>
      </c>
      <c r="C387" s="19" t="s">
        <v>145</v>
      </c>
      <c r="D387" s="22"/>
      <c r="E387" s="20" t="s">
        <v>122</v>
      </c>
      <c r="F387" s="22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>
      <c r="A388" s="19" t="s">
        <v>63</v>
      </c>
      <c r="B388" s="19" t="s">
        <v>66</v>
      </c>
      <c r="C388" s="19" t="s">
        <v>127</v>
      </c>
      <c r="D388" s="22"/>
      <c r="E388" s="20" t="s">
        <v>122</v>
      </c>
      <c r="F388" s="22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>
      <c r="A389" s="19" t="s">
        <v>63</v>
      </c>
      <c r="B389" s="19" t="s">
        <v>66</v>
      </c>
      <c r="C389" s="19" t="s">
        <v>128</v>
      </c>
      <c r="D389" s="22"/>
      <c r="E389" s="20" t="s">
        <v>122</v>
      </c>
      <c r="F389" s="22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>
      <c r="A390" s="19" t="s">
        <v>68</v>
      </c>
      <c r="B390" s="19" t="s">
        <v>69</v>
      </c>
      <c r="C390" s="19" t="s">
        <v>69</v>
      </c>
      <c r="D390" s="22"/>
      <c r="E390" s="20" t="s">
        <v>122</v>
      </c>
      <c r="F390" s="22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>
      <c r="A391" s="19" t="s">
        <v>68</v>
      </c>
      <c r="B391" s="19" t="s">
        <v>69</v>
      </c>
      <c r="C391" s="19" t="s">
        <v>127</v>
      </c>
      <c r="D391" s="22"/>
      <c r="E391" s="20" t="s">
        <v>122</v>
      </c>
      <c r="F391" s="22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>
      <c r="A392" s="19" t="s">
        <v>68</v>
      </c>
      <c r="B392" s="19" t="s">
        <v>71</v>
      </c>
      <c r="C392" s="19" t="s">
        <v>71</v>
      </c>
      <c r="D392" s="20">
        <v>125.0</v>
      </c>
      <c r="E392" s="20" t="s">
        <v>130</v>
      </c>
      <c r="F392" s="22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>
      <c r="A393" s="19" t="s">
        <v>68</v>
      </c>
      <c r="B393" s="19" t="s">
        <v>70</v>
      </c>
      <c r="C393" s="19" t="s">
        <v>70</v>
      </c>
      <c r="D393" s="20">
        <v>125.0</v>
      </c>
      <c r="E393" s="20" t="s">
        <v>130</v>
      </c>
      <c r="F393" s="22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>
      <c r="A394" s="19" t="s">
        <v>72</v>
      </c>
      <c r="B394" s="19" t="s">
        <v>102</v>
      </c>
      <c r="C394" s="19" t="s">
        <v>203</v>
      </c>
      <c r="D394" s="20">
        <v>400.0</v>
      </c>
      <c r="E394" s="20" t="s">
        <v>130</v>
      </c>
      <c r="F394" s="21">
        <v>39.0</v>
      </c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>
      <c r="A395" s="19" t="s">
        <v>72</v>
      </c>
      <c r="B395" s="19" t="s">
        <v>102</v>
      </c>
      <c r="C395" s="19" t="s">
        <v>127</v>
      </c>
      <c r="D395" s="20"/>
      <c r="E395" s="20" t="s">
        <v>122</v>
      </c>
      <c r="F395" s="21" t="s">
        <v>204</v>
      </c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>
      <c r="A396" s="19" t="s">
        <v>72</v>
      </c>
      <c r="B396" s="19" t="s">
        <v>102</v>
      </c>
      <c r="C396" s="19" t="s">
        <v>135</v>
      </c>
      <c r="D396" s="20">
        <v>2400.0</v>
      </c>
      <c r="E396" s="20" t="s">
        <v>122</v>
      </c>
      <c r="F396" s="20" t="s">
        <v>205</v>
      </c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>
      <c r="A397" s="19" t="s">
        <v>72</v>
      </c>
      <c r="B397" s="19" t="s">
        <v>101</v>
      </c>
      <c r="C397" s="19" t="s">
        <v>206</v>
      </c>
      <c r="D397" s="20">
        <v>2.0</v>
      </c>
      <c r="E397" s="20" t="s">
        <v>122</v>
      </c>
      <c r="F397" s="21">
        <v>33.0</v>
      </c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>
      <c r="A398" s="19" t="s">
        <v>72</v>
      </c>
      <c r="B398" s="19" t="s">
        <v>101</v>
      </c>
      <c r="C398" s="19" t="s">
        <v>145</v>
      </c>
      <c r="D398" s="22"/>
      <c r="E398" s="20" t="s">
        <v>122</v>
      </c>
      <c r="F398" s="21" t="s">
        <v>207</v>
      </c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>
      <c r="A399" s="19" t="s">
        <v>72</v>
      </c>
      <c r="B399" s="19" t="s">
        <v>101</v>
      </c>
      <c r="C399" s="19" t="s">
        <v>127</v>
      </c>
      <c r="D399" s="22"/>
      <c r="E399" s="20" t="s">
        <v>122</v>
      </c>
      <c r="F399" s="20">
        <v>30.0</v>
      </c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>
      <c r="A400" s="19" t="s">
        <v>72</v>
      </c>
      <c r="B400" s="19" t="s">
        <v>101</v>
      </c>
      <c r="C400" s="19" t="s">
        <v>135</v>
      </c>
      <c r="D400" s="22"/>
      <c r="E400" s="20" t="s">
        <v>122</v>
      </c>
      <c r="F400" s="20" t="s">
        <v>208</v>
      </c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>
      <c r="A401" s="19" t="s">
        <v>72</v>
      </c>
      <c r="B401" s="19" t="s">
        <v>101</v>
      </c>
      <c r="C401" s="19" t="s">
        <v>128</v>
      </c>
      <c r="D401" s="22"/>
      <c r="E401" s="20" t="s">
        <v>122</v>
      </c>
      <c r="F401" s="22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>
      <c r="A402" s="19" t="s">
        <v>72</v>
      </c>
      <c r="B402" s="19" t="s">
        <v>98</v>
      </c>
      <c r="C402" s="19" t="s">
        <v>123</v>
      </c>
      <c r="D402" s="20">
        <v>1700.0</v>
      </c>
      <c r="E402" s="20" t="s">
        <v>122</v>
      </c>
      <c r="F402" s="21">
        <v>50.0</v>
      </c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>
      <c r="A403" s="19" t="s">
        <v>72</v>
      </c>
      <c r="B403" s="19" t="s">
        <v>98</v>
      </c>
      <c r="C403" s="19" t="s">
        <v>145</v>
      </c>
      <c r="D403" s="20">
        <v>150.0</v>
      </c>
      <c r="E403" s="20" t="s">
        <v>122</v>
      </c>
      <c r="F403" s="21" t="s">
        <v>209</v>
      </c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>
      <c r="A404" s="19" t="s">
        <v>72</v>
      </c>
      <c r="B404" s="19" t="s">
        <v>98</v>
      </c>
      <c r="C404" s="19" t="s">
        <v>127</v>
      </c>
      <c r="D404" s="22"/>
      <c r="E404" s="20" t="s">
        <v>122</v>
      </c>
      <c r="F404" s="22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>
      <c r="A405" s="19" t="s">
        <v>72</v>
      </c>
      <c r="B405" s="19" t="s">
        <v>98</v>
      </c>
      <c r="C405" s="19" t="s">
        <v>135</v>
      </c>
      <c r="D405" s="22"/>
      <c r="E405" s="20" t="s">
        <v>122</v>
      </c>
      <c r="F405" s="22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>
      <c r="A406" s="19" t="s">
        <v>72</v>
      </c>
      <c r="B406" s="19" t="s">
        <v>98</v>
      </c>
      <c r="C406" s="19" t="s">
        <v>128</v>
      </c>
      <c r="D406" s="22"/>
      <c r="E406" s="20" t="s">
        <v>122</v>
      </c>
      <c r="F406" s="22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>
      <c r="A407" s="19" t="s">
        <v>72</v>
      </c>
      <c r="B407" s="19" t="s">
        <v>91</v>
      </c>
      <c r="C407" s="19" t="s">
        <v>210</v>
      </c>
      <c r="D407" s="20">
        <v>3385.0</v>
      </c>
      <c r="E407" s="20" t="s">
        <v>122</v>
      </c>
      <c r="F407" s="21">
        <v>50.0</v>
      </c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>
      <c r="A408" s="19" t="s">
        <v>72</v>
      </c>
      <c r="B408" s="19" t="s">
        <v>91</v>
      </c>
      <c r="C408" s="19" t="s">
        <v>129</v>
      </c>
      <c r="D408" s="20">
        <v>3375.0</v>
      </c>
      <c r="E408" s="20" t="s">
        <v>130</v>
      </c>
      <c r="F408" s="21" t="s">
        <v>209</v>
      </c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>
      <c r="A409" s="19" t="s">
        <v>72</v>
      </c>
      <c r="B409" s="19" t="s">
        <v>91</v>
      </c>
      <c r="C409" s="19" t="s">
        <v>145</v>
      </c>
      <c r="D409" s="20">
        <v>150.0</v>
      </c>
      <c r="E409" s="20" t="s">
        <v>122</v>
      </c>
      <c r="F409" s="22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>
      <c r="A410" s="19" t="s">
        <v>72</v>
      </c>
      <c r="B410" s="19" t="s">
        <v>91</v>
      </c>
      <c r="C410" s="19" t="s">
        <v>127</v>
      </c>
      <c r="D410" s="22"/>
      <c r="E410" s="20" t="s">
        <v>122</v>
      </c>
      <c r="F410" s="22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>
      <c r="A411" s="19" t="s">
        <v>72</v>
      </c>
      <c r="B411" s="19" t="s">
        <v>91</v>
      </c>
      <c r="C411" s="19" t="s">
        <v>135</v>
      </c>
      <c r="D411" s="22"/>
      <c r="E411" s="20" t="s">
        <v>122</v>
      </c>
      <c r="F411" s="22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>
      <c r="A412" s="19" t="s">
        <v>72</v>
      </c>
      <c r="B412" s="19" t="s">
        <v>91</v>
      </c>
      <c r="C412" s="19" t="s">
        <v>128</v>
      </c>
      <c r="D412" s="22"/>
      <c r="E412" s="20" t="s">
        <v>122</v>
      </c>
      <c r="F412" s="22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>
      <c r="A413" s="19" t="s">
        <v>72</v>
      </c>
      <c r="B413" s="19" t="s">
        <v>86</v>
      </c>
      <c r="C413" s="19" t="s">
        <v>123</v>
      </c>
      <c r="D413" s="20">
        <v>1700.0</v>
      </c>
      <c r="E413" s="20" t="s">
        <v>122</v>
      </c>
      <c r="F413" s="21">
        <v>50.0</v>
      </c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A414" s="19" t="s">
        <v>72</v>
      </c>
      <c r="B414" s="19" t="s">
        <v>86</v>
      </c>
      <c r="C414" s="19" t="s">
        <v>145</v>
      </c>
      <c r="D414" s="20">
        <v>150.0</v>
      </c>
      <c r="E414" s="20" t="s">
        <v>122</v>
      </c>
      <c r="F414" s="21" t="s">
        <v>209</v>
      </c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>
      <c r="A415" s="19" t="s">
        <v>72</v>
      </c>
      <c r="B415" s="19" t="s">
        <v>86</v>
      </c>
      <c r="C415" s="19" t="s">
        <v>127</v>
      </c>
      <c r="D415" s="22"/>
      <c r="E415" s="20" t="s">
        <v>122</v>
      </c>
      <c r="F415" s="22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A416" s="19" t="s">
        <v>72</v>
      </c>
      <c r="B416" s="19" t="s">
        <v>86</v>
      </c>
      <c r="C416" s="19" t="s">
        <v>135</v>
      </c>
      <c r="D416" s="22"/>
      <c r="E416" s="20" t="s">
        <v>122</v>
      </c>
      <c r="F416" s="22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A417" s="19" t="s">
        <v>72</v>
      </c>
      <c r="B417" s="19" t="s">
        <v>86</v>
      </c>
      <c r="C417" s="19" t="s">
        <v>128</v>
      </c>
      <c r="D417" s="22"/>
      <c r="E417" s="20" t="s">
        <v>122</v>
      </c>
      <c r="F417" s="22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>
      <c r="A418" s="19" t="s">
        <v>72</v>
      </c>
      <c r="B418" s="19" t="s">
        <v>78</v>
      </c>
      <c r="C418" s="19" t="s">
        <v>123</v>
      </c>
      <c r="D418" s="20">
        <v>1700.0</v>
      </c>
      <c r="E418" s="20" t="s">
        <v>122</v>
      </c>
      <c r="F418" s="21">
        <v>50.0</v>
      </c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>
      <c r="A419" s="19" t="s">
        <v>72</v>
      </c>
      <c r="B419" s="19" t="s">
        <v>78</v>
      </c>
      <c r="C419" s="19" t="s">
        <v>145</v>
      </c>
      <c r="D419" s="20">
        <v>150.0</v>
      </c>
      <c r="E419" s="20" t="s">
        <v>122</v>
      </c>
      <c r="F419" s="21" t="s">
        <v>209</v>
      </c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>
      <c r="A420" s="19" t="s">
        <v>72</v>
      </c>
      <c r="B420" s="19" t="s">
        <v>78</v>
      </c>
      <c r="C420" s="19" t="s">
        <v>127</v>
      </c>
      <c r="D420" s="22"/>
      <c r="E420" s="20" t="s">
        <v>122</v>
      </c>
      <c r="F420" s="22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>
      <c r="A421" s="19" t="s">
        <v>72</v>
      </c>
      <c r="B421" s="19" t="s">
        <v>78</v>
      </c>
      <c r="C421" s="19" t="s">
        <v>135</v>
      </c>
      <c r="D421" s="22"/>
      <c r="E421" s="20" t="s">
        <v>122</v>
      </c>
      <c r="F421" s="22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>
      <c r="A422" s="19" t="s">
        <v>72</v>
      </c>
      <c r="B422" s="19" t="s">
        <v>78</v>
      </c>
      <c r="C422" s="19" t="s">
        <v>128</v>
      </c>
      <c r="D422" s="22"/>
      <c r="E422" s="20" t="s">
        <v>122</v>
      </c>
      <c r="F422" s="22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>
      <c r="A423" s="19" t="s">
        <v>72</v>
      </c>
      <c r="B423" s="19" t="s">
        <v>89</v>
      </c>
      <c r="C423" s="19" t="s">
        <v>123</v>
      </c>
      <c r="D423" s="20">
        <v>1700.0</v>
      </c>
      <c r="E423" s="20" t="s">
        <v>122</v>
      </c>
      <c r="F423" s="21">
        <v>50.0</v>
      </c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A424" s="19" t="s">
        <v>72</v>
      </c>
      <c r="B424" s="19" t="s">
        <v>89</v>
      </c>
      <c r="C424" s="19" t="s">
        <v>145</v>
      </c>
      <c r="D424" s="20">
        <v>150.0</v>
      </c>
      <c r="E424" s="20" t="s">
        <v>122</v>
      </c>
      <c r="F424" s="21" t="s">
        <v>209</v>
      </c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A425" s="19" t="s">
        <v>72</v>
      </c>
      <c r="B425" s="19" t="s">
        <v>89</v>
      </c>
      <c r="C425" s="19" t="s">
        <v>127</v>
      </c>
      <c r="D425" s="22"/>
      <c r="E425" s="20" t="s">
        <v>122</v>
      </c>
      <c r="F425" s="22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>
      <c r="A426" s="19" t="s">
        <v>72</v>
      </c>
      <c r="B426" s="19" t="s">
        <v>89</v>
      </c>
      <c r="C426" s="19" t="s">
        <v>135</v>
      </c>
      <c r="D426" s="22"/>
      <c r="E426" s="20" t="s">
        <v>122</v>
      </c>
      <c r="F426" s="22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A427" s="19" t="s">
        <v>72</v>
      </c>
      <c r="B427" s="19" t="s">
        <v>89</v>
      </c>
      <c r="C427" s="19" t="s">
        <v>128</v>
      </c>
      <c r="D427" s="22"/>
      <c r="E427" s="20" t="s">
        <v>122</v>
      </c>
      <c r="F427" s="22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>
      <c r="A428" s="19" t="s">
        <v>72</v>
      </c>
      <c r="B428" s="19" t="s">
        <v>76</v>
      </c>
      <c r="C428" s="19" t="s">
        <v>123</v>
      </c>
      <c r="D428" s="20">
        <v>1700.0</v>
      </c>
      <c r="E428" s="20" t="s">
        <v>122</v>
      </c>
      <c r="F428" s="21">
        <v>50.0</v>
      </c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>
      <c r="A429" s="19" t="s">
        <v>72</v>
      </c>
      <c r="B429" s="19" t="s">
        <v>76</v>
      </c>
      <c r="C429" s="19" t="s">
        <v>145</v>
      </c>
      <c r="D429" s="20">
        <v>150.0</v>
      </c>
      <c r="E429" s="20" t="s">
        <v>122</v>
      </c>
      <c r="F429" s="21" t="s">
        <v>209</v>
      </c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>
      <c r="A430" s="19" t="s">
        <v>72</v>
      </c>
      <c r="B430" s="19" t="s">
        <v>76</v>
      </c>
      <c r="C430" s="19" t="s">
        <v>127</v>
      </c>
      <c r="D430" s="22"/>
      <c r="E430" s="20" t="s">
        <v>122</v>
      </c>
      <c r="F430" s="22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>
      <c r="A431" s="19" t="s">
        <v>72</v>
      </c>
      <c r="B431" s="19" t="s">
        <v>76</v>
      </c>
      <c r="C431" s="19" t="s">
        <v>135</v>
      </c>
      <c r="D431" s="22"/>
      <c r="E431" s="20" t="s">
        <v>122</v>
      </c>
      <c r="F431" s="22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>
      <c r="A432" s="19" t="s">
        <v>72</v>
      </c>
      <c r="B432" s="19" t="s">
        <v>76</v>
      </c>
      <c r="C432" s="19" t="s">
        <v>128</v>
      </c>
      <c r="D432" s="22"/>
      <c r="E432" s="20" t="s">
        <v>122</v>
      </c>
      <c r="F432" s="22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>
      <c r="A433" s="19" t="s">
        <v>72</v>
      </c>
      <c r="B433" s="19" t="s">
        <v>94</v>
      </c>
      <c r="C433" s="19" t="s">
        <v>123</v>
      </c>
      <c r="D433" s="20">
        <v>1700.0</v>
      </c>
      <c r="E433" s="20" t="s">
        <v>122</v>
      </c>
      <c r="F433" s="21">
        <v>50.0</v>
      </c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>
      <c r="A434" s="19" t="s">
        <v>72</v>
      </c>
      <c r="B434" s="19" t="s">
        <v>94</v>
      </c>
      <c r="C434" s="19" t="s">
        <v>145</v>
      </c>
      <c r="D434" s="20">
        <v>150.0</v>
      </c>
      <c r="E434" s="20" t="s">
        <v>122</v>
      </c>
      <c r="F434" s="21" t="s">
        <v>209</v>
      </c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>
      <c r="A435" s="19" t="s">
        <v>72</v>
      </c>
      <c r="B435" s="19" t="s">
        <v>94</v>
      </c>
      <c r="C435" s="19" t="s">
        <v>127</v>
      </c>
      <c r="D435" s="22"/>
      <c r="E435" s="20" t="s">
        <v>122</v>
      </c>
      <c r="F435" s="22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>
      <c r="A436" s="19" t="s">
        <v>72</v>
      </c>
      <c r="B436" s="19" t="s">
        <v>94</v>
      </c>
      <c r="C436" s="19" t="s">
        <v>135</v>
      </c>
      <c r="D436" s="22"/>
      <c r="E436" s="20" t="s">
        <v>122</v>
      </c>
      <c r="F436" s="22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>
      <c r="A437" s="19" t="s">
        <v>72</v>
      </c>
      <c r="B437" s="19" t="s">
        <v>94</v>
      </c>
      <c r="C437" s="19" t="s">
        <v>128</v>
      </c>
      <c r="D437" s="22"/>
      <c r="E437" s="20" t="s">
        <v>122</v>
      </c>
      <c r="F437" s="22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>
      <c r="A438" s="19" t="s">
        <v>72</v>
      </c>
      <c r="B438" s="19" t="s">
        <v>73</v>
      </c>
      <c r="C438" s="19" t="s">
        <v>123</v>
      </c>
      <c r="D438" s="20">
        <v>1700.0</v>
      </c>
      <c r="E438" s="20" t="s">
        <v>122</v>
      </c>
      <c r="F438" s="21">
        <v>50.0</v>
      </c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>
      <c r="A439" s="19" t="s">
        <v>72</v>
      </c>
      <c r="B439" s="19" t="s">
        <v>73</v>
      </c>
      <c r="C439" s="19" t="s">
        <v>145</v>
      </c>
      <c r="D439" s="20">
        <v>150.0</v>
      </c>
      <c r="E439" s="20" t="s">
        <v>122</v>
      </c>
      <c r="F439" s="21" t="s">
        <v>209</v>
      </c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>
      <c r="A440" s="19" t="s">
        <v>72</v>
      </c>
      <c r="B440" s="19" t="s">
        <v>73</v>
      </c>
      <c r="C440" s="19" t="s">
        <v>127</v>
      </c>
      <c r="D440" s="22"/>
      <c r="E440" s="20" t="s">
        <v>122</v>
      </c>
      <c r="F440" s="22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>
      <c r="A441" s="19" t="s">
        <v>72</v>
      </c>
      <c r="B441" s="19" t="s">
        <v>73</v>
      </c>
      <c r="C441" s="19" t="s">
        <v>135</v>
      </c>
      <c r="D441" s="22"/>
      <c r="E441" s="20" t="s">
        <v>122</v>
      </c>
      <c r="F441" s="22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>
      <c r="A442" s="19" t="s">
        <v>72</v>
      </c>
      <c r="B442" s="19" t="s">
        <v>73</v>
      </c>
      <c r="C442" s="19" t="s">
        <v>128</v>
      </c>
      <c r="D442" s="22"/>
      <c r="E442" s="20" t="s">
        <v>122</v>
      </c>
      <c r="F442" s="22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>
      <c r="A443" s="19" t="s">
        <v>72</v>
      </c>
      <c r="B443" s="19" t="s">
        <v>84</v>
      </c>
      <c r="C443" s="19" t="s">
        <v>123</v>
      </c>
      <c r="D443" s="20">
        <v>1700.0</v>
      </c>
      <c r="E443" s="20" t="s">
        <v>122</v>
      </c>
      <c r="F443" s="21">
        <v>50.0</v>
      </c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>
      <c r="A444" s="19" t="s">
        <v>72</v>
      </c>
      <c r="B444" s="19" t="s">
        <v>84</v>
      </c>
      <c r="C444" s="19" t="s">
        <v>145</v>
      </c>
      <c r="D444" s="20">
        <v>150.0</v>
      </c>
      <c r="E444" s="20" t="s">
        <v>122</v>
      </c>
      <c r="F444" s="21" t="s">
        <v>209</v>
      </c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>
      <c r="A445" s="19" t="s">
        <v>72</v>
      </c>
      <c r="B445" s="19" t="s">
        <v>84</v>
      </c>
      <c r="C445" s="19" t="s">
        <v>127</v>
      </c>
      <c r="D445" s="22"/>
      <c r="E445" s="20" t="s">
        <v>122</v>
      </c>
      <c r="F445" s="22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>
      <c r="A446" s="19" t="s">
        <v>72</v>
      </c>
      <c r="B446" s="19" t="s">
        <v>84</v>
      </c>
      <c r="C446" s="19" t="s">
        <v>135</v>
      </c>
      <c r="D446" s="22"/>
      <c r="E446" s="20" t="s">
        <v>122</v>
      </c>
      <c r="F446" s="22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>
      <c r="A447" s="19" t="s">
        <v>72</v>
      </c>
      <c r="B447" s="19" t="s">
        <v>84</v>
      </c>
      <c r="C447" s="19" t="s">
        <v>128</v>
      </c>
      <c r="D447" s="22"/>
      <c r="E447" s="20" t="s">
        <v>122</v>
      </c>
      <c r="F447" s="22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>
      <c r="A448" s="19" t="s">
        <v>72</v>
      </c>
      <c r="B448" s="19" t="s">
        <v>96</v>
      </c>
      <c r="C448" s="19" t="s">
        <v>123</v>
      </c>
      <c r="D448" s="20">
        <v>1700.0</v>
      </c>
      <c r="E448" s="20" t="s">
        <v>122</v>
      </c>
      <c r="F448" s="21">
        <v>50.0</v>
      </c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>
      <c r="A449" s="19" t="s">
        <v>72</v>
      </c>
      <c r="B449" s="19" t="s">
        <v>96</v>
      </c>
      <c r="C449" s="19" t="s">
        <v>145</v>
      </c>
      <c r="D449" s="20">
        <v>150.0</v>
      </c>
      <c r="E449" s="20" t="s">
        <v>122</v>
      </c>
      <c r="F449" s="21" t="s">
        <v>209</v>
      </c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>
      <c r="A450" s="19" t="s">
        <v>72</v>
      </c>
      <c r="B450" s="19" t="s">
        <v>96</v>
      </c>
      <c r="C450" s="19" t="s">
        <v>127</v>
      </c>
      <c r="D450" s="22"/>
      <c r="E450" s="20" t="s">
        <v>122</v>
      </c>
      <c r="F450" s="22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>
      <c r="A451" s="19" t="s">
        <v>72</v>
      </c>
      <c r="B451" s="19" t="s">
        <v>96</v>
      </c>
      <c r="C451" s="19" t="s">
        <v>135</v>
      </c>
      <c r="D451" s="22"/>
      <c r="E451" s="20" t="s">
        <v>122</v>
      </c>
      <c r="F451" s="22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>
      <c r="A452" s="19" t="s">
        <v>72</v>
      </c>
      <c r="B452" s="19" t="s">
        <v>96</v>
      </c>
      <c r="C452" s="19" t="s">
        <v>128</v>
      </c>
      <c r="D452" s="22"/>
      <c r="E452" s="20" t="s">
        <v>122</v>
      </c>
      <c r="F452" s="22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>
      <c r="A453" s="19"/>
      <c r="B453" s="23"/>
      <c r="C453" s="23"/>
      <c r="D453" s="22"/>
      <c r="E453" s="22"/>
      <c r="F453" s="22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>
      <c r="A454" s="19"/>
      <c r="B454" s="23"/>
      <c r="C454" s="23"/>
      <c r="D454" s="22"/>
      <c r="E454" s="22"/>
      <c r="F454" s="22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>
      <c r="A455" s="19"/>
      <c r="B455" s="23"/>
      <c r="C455" s="23"/>
      <c r="D455" s="22"/>
      <c r="E455" s="22"/>
      <c r="F455" s="22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>
      <c r="A456" s="19"/>
      <c r="B456" s="23"/>
      <c r="C456" s="23"/>
      <c r="D456" s="22"/>
      <c r="E456" s="22"/>
      <c r="F456" s="22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>
      <c r="A457" s="19"/>
      <c r="B457" s="23"/>
      <c r="C457" s="23"/>
      <c r="D457" s="22"/>
      <c r="E457" s="22"/>
      <c r="F457" s="22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>
      <c r="A458" s="19"/>
      <c r="B458" s="23"/>
      <c r="C458" s="23"/>
      <c r="D458" s="22"/>
      <c r="E458" s="22"/>
      <c r="F458" s="22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>
      <c r="A459" s="19"/>
      <c r="B459" s="23"/>
      <c r="C459" s="23"/>
      <c r="D459" s="22"/>
      <c r="E459" s="22"/>
      <c r="F459" s="22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>
      <c r="A460" s="19"/>
      <c r="B460" s="23"/>
      <c r="C460" s="23"/>
      <c r="D460" s="22"/>
      <c r="E460" s="22"/>
      <c r="F460" s="22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>
      <c r="A461" s="19"/>
      <c r="B461" s="23"/>
      <c r="C461" s="23"/>
      <c r="D461" s="22"/>
      <c r="E461" s="22"/>
      <c r="F461" s="22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>
      <c r="A462" s="19"/>
      <c r="B462" s="23"/>
      <c r="C462" s="23"/>
      <c r="D462" s="22"/>
      <c r="E462" s="22"/>
      <c r="F462" s="22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>
      <c r="A463" s="19"/>
      <c r="B463" s="23"/>
      <c r="C463" s="23"/>
      <c r="D463" s="22"/>
      <c r="E463" s="22"/>
      <c r="F463" s="22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>
      <c r="A464" s="19"/>
      <c r="B464" s="23"/>
      <c r="C464" s="23"/>
      <c r="D464" s="22"/>
      <c r="E464" s="22"/>
      <c r="F464" s="22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>
      <c r="A465" s="19"/>
      <c r="B465" s="23"/>
      <c r="C465" s="23"/>
      <c r="D465" s="22"/>
      <c r="E465" s="22"/>
      <c r="F465" s="22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>
      <c r="A466" s="19"/>
      <c r="B466" s="23"/>
      <c r="C466" s="23"/>
      <c r="D466" s="22"/>
      <c r="E466" s="22"/>
      <c r="F466" s="22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>
      <c r="A467" s="19"/>
      <c r="B467" s="23"/>
      <c r="C467" s="23"/>
      <c r="D467" s="22"/>
      <c r="E467" s="22"/>
      <c r="F467" s="22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>
      <c r="A468" s="19"/>
      <c r="B468" s="23"/>
      <c r="C468" s="23"/>
      <c r="D468" s="22"/>
      <c r="E468" s="22"/>
      <c r="F468" s="22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>
      <c r="A469" s="19"/>
      <c r="B469" s="23"/>
      <c r="C469" s="23"/>
      <c r="D469" s="22"/>
      <c r="E469" s="22"/>
      <c r="F469" s="22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>
      <c r="A470" s="19"/>
      <c r="B470" s="23"/>
      <c r="C470" s="23"/>
      <c r="D470" s="22"/>
      <c r="E470" s="22"/>
      <c r="F470" s="22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>
      <c r="A471" s="19"/>
      <c r="B471" s="23"/>
      <c r="C471" s="23"/>
      <c r="D471" s="22"/>
      <c r="E471" s="22"/>
      <c r="F471" s="22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>
      <c r="A472" s="19"/>
      <c r="B472" s="23"/>
      <c r="C472" s="23"/>
      <c r="D472" s="22"/>
      <c r="E472" s="22"/>
      <c r="F472" s="22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>
      <c r="A473" s="19"/>
      <c r="B473" s="23"/>
      <c r="C473" s="23"/>
      <c r="D473" s="22"/>
      <c r="E473" s="22"/>
      <c r="F473" s="22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>
      <c r="A474" s="19"/>
      <c r="B474" s="23"/>
      <c r="C474" s="23"/>
      <c r="D474" s="22"/>
      <c r="E474" s="22"/>
      <c r="F474" s="22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>
      <c r="A475" s="19"/>
      <c r="B475" s="23"/>
      <c r="C475" s="23"/>
      <c r="D475" s="22"/>
      <c r="E475" s="22"/>
      <c r="F475" s="22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>
      <c r="A476" s="19"/>
      <c r="B476" s="23"/>
      <c r="C476" s="23"/>
      <c r="D476" s="22"/>
      <c r="E476" s="22"/>
      <c r="F476" s="22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>
      <c r="A477" s="19"/>
      <c r="B477" s="23"/>
      <c r="C477" s="23"/>
      <c r="D477" s="22"/>
      <c r="E477" s="22"/>
      <c r="F477" s="22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>
      <c r="A478" s="19"/>
      <c r="B478" s="23"/>
      <c r="C478" s="23"/>
      <c r="D478" s="22"/>
      <c r="E478" s="22"/>
      <c r="F478" s="22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>
      <c r="A479" s="19"/>
      <c r="B479" s="23"/>
      <c r="C479" s="23"/>
      <c r="D479" s="22"/>
      <c r="E479" s="22"/>
      <c r="F479" s="22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>
      <c r="A480" s="19"/>
      <c r="B480" s="23"/>
      <c r="C480" s="23"/>
      <c r="D480" s="22"/>
      <c r="E480" s="22"/>
      <c r="F480" s="22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>
      <c r="A481" s="19"/>
      <c r="B481" s="23"/>
      <c r="C481" s="23"/>
      <c r="D481" s="22"/>
      <c r="E481" s="22"/>
      <c r="F481" s="22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>
      <c r="A482" s="19"/>
      <c r="B482" s="23"/>
      <c r="C482" s="23"/>
      <c r="D482" s="22"/>
      <c r="E482" s="22"/>
      <c r="F482" s="22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>
      <c r="A483" s="19"/>
      <c r="B483" s="23"/>
      <c r="C483" s="23"/>
      <c r="D483" s="22"/>
      <c r="E483" s="22"/>
      <c r="F483" s="22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>
      <c r="A484" s="19"/>
      <c r="B484" s="23"/>
      <c r="C484" s="23"/>
      <c r="D484" s="22"/>
      <c r="E484" s="22"/>
      <c r="F484" s="22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>
      <c r="A485" s="19"/>
      <c r="B485" s="23"/>
      <c r="C485" s="23"/>
      <c r="D485" s="22"/>
      <c r="E485" s="22"/>
      <c r="F485" s="22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>
      <c r="A486" s="19"/>
      <c r="B486" s="23"/>
      <c r="C486" s="23"/>
      <c r="D486" s="22"/>
      <c r="E486" s="22"/>
      <c r="F486" s="22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>
      <c r="A487" s="19"/>
      <c r="B487" s="23"/>
      <c r="C487" s="23"/>
      <c r="D487" s="22"/>
      <c r="E487" s="22"/>
      <c r="F487" s="22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>
      <c r="A488" s="19"/>
      <c r="B488" s="23"/>
      <c r="C488" s="23"/>
      <c r="D488" s="22"/>
      <c r="E488" s="22"/>
      <c r="F488" s="22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>
      <c r="A489" s="19"/>
      <c r="B489" s="23"/>
      <c r="C489" s="23"/>
      <c r="D489" s="22"/>
      <c r="E489" s="22"/>
      <c r="F489" s="22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>
      <c r="A490" s="19"/>
      <c r="B490" s="23"/>
      <c r="C490" s="23"/>
      <c r="D490" s="22"/>
      <c r="E490" s="22"/>
      <c r="F490" s="22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>
      <c r="A491" s="19"/>
      <c r="B491" s="23"/>
      <c r="C491" s="23"/>
      <c r="D491" s="22"/>
      <c r="E491" s="22"/>
      <c r="F491" s="22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>
      <c r="A492" s="19"/>
      <c r="B492" s="23"/>
      <c r="C492" s="23"/>
      <c r="D492" s="22"/>
      <c r="E492" s="22"/>
      <c r="F492" s="22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>
      <c r="A493" s="19"/>
      <c r="B493" s="23"/>
      <c r="C493" s="23"/>
      <c r="D493" s="22"/>
      <c r="E493" s="22"/>
      <c r="F493" s="22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>
      <c r="A494" s="19"/>
      <c r="B494" s="23"/>
      <c r="C494" s="23"/>
      <c r="D494" s="22"/>
      <c r="E494" s="22"/>
      <c r="F494" s="22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>
      <c r="A495" s="19"/>
      <c r="B495" s="23"/>
      <c r="C495" s="23"/>
      <c r="D495" s="22"/>
      <c r="E495" s="22"/>
      <c r="F495" s="22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>
      <c r="A496" s="19"/>
      <c r="B496" s="23"/>
      <c r="C496" s="23"/>
      <c r="D496" s="22"/>
      <c r="E496" s="22"/>
      <c r="F496" s="22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>
      <c r="A497" s="19"/>
      <c r="B497" s="23"/>
      <c r="C497" s="23"/>
      <c r="D497" s="22"/>
      <c r="E497" s="22"/>
      <c r="F497" s="22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>
      <c r="A498" s="19"/>
      <c r="B498" s="23"/>
      <c r="C498" s="23"/>
      <c r="D498" s="22"/>
      <c r="E498" s="22"/>
      <c r="F498" s="22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>
      <c r="A499" s="19"/>
      <c r="B499" s="23"/>
      <c r="C499" s="23"/>
      <c r="D499" s="22"/>
      <c r="E499" s="22"/>
      <c r="F499" s="22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>
      <c r="A500" s="19"/>
      <c r="B500" s="23"/>
      <c r="C500" s="23"/>
      <c r="D500" s="22"/>
      <c r="E500" s="22"/>
      <c r="F500" s="22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>
      <c r="A501" s="19"/>
      <c r="B501" s="23"/>
      <c r="C501" s="23"/>
      <c r="D501" s="22"/>
      <c r="E501" s="22"/>
      <c r="F501" s="22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>
      <c r="A502" s="19"/>
      <c r="B502" s="23"/>
      <c r="C502" s="23"/>
      <c r="D502" s="22"/>
      <c r="E502" s="22"/>
      <c r="F502" s="22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>
      <c r="A503" s="19"/>
      <c r="B503" s="23"/>
      <c r="C503" s="23"/>
      <c r="D503" s="22"/>
      <c r="E503" s="22"/>
      <c r="F503" s="22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>
      <c r="A504" s="19"/>
      <c r="B504" s="23"/>
      <c r="C504" s="23"/>
      <c r="D504" s="22"/>
      <c r="E504" s="22"/>
      <c r="F504" s="22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>
      <c r="A505" s="19"/>
      <c r="B505" s="23"/>
      <c r="C505" s="23"/>
      <c r="D505" s="22"/>
      <c r="E505" s="22"/>
      <c r="F505" s="22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>
      <c r="A506" s="19"/>
      <c r="B506" s="23"/>
      <c r="C506" s="23"/>
      <c r="D506" s="22"/>
      <c r="E506" s="22"/>
      <c r="F506" s="22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>
      <c r="A507" s="19"/>
      <c r="B507" s="23"/>
      <c r="C507" s="23"/>
      <c r="D507" s="22"/>
      <c r="E507" s="22"/>
      <c r="F507" s="22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>
      <c r="A508" s="19"/>
      <c r="B508" s="23"/>
      <c r="C508" s="23"/>
      <c r="D508" s="22"/>
      <c r="E508" s="22"/>
      <c r="F508" s="22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>
      <c r="A509" s="19"/>
      <c r="B509" s="23"/>
      <c r="C509" s="23"/>
      <c r="D509" s="22"/>
      <c r="E509" s="22"/>
      <c r="F509" s="22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>
      <c r="A510" s="19"/>
      <c r="B510" s="23"/>
      <c r="C510" s="23"/>
      <c r="D510" s="22"/>
      <c r="E510" s="22"/>
      <c r="F510" s="22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>
      <c r="A511" s="19"/>
      <c r="B511" s="23"/>
      <c r="C511" s="23"/>
      <c r="D511" s="22"/>
      <c r="E511" s="22"/>
      <c r="F511" s="22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>
      <c r="A512" s="19"/>
      <c r="B512" s="23"/>
      <c r="C512" s="23"/>
      <c r="D512" s="22"/>
      <c r="E512" s="22"/>
      <c r="F512" s="22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>
      <c r="A513" s="19"/>
      <c r="B513" s="23"/>
      <c r="C513" s="23"/>
      <c r="D513" s="22"/>
      <c r="E513" s="22"/>
      <c r="F513" s="22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>
      <c r="A514" s="19"/>
      <c r="B514" s="23"/>
      <c r="C514" s="23"/>
      <c r="D514" s="22"/>
      <c r="E514" s="22"/>
      <c r="F514" s="22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>
      <c r="A515" s="19"/>
      <c r="B515" s="23"/>
      <c r="C515" s="23"/>
      <c r="D515" s="22"/>
      <c r="E515" s="22"/>
      <c r="F515" s="22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>
      <c r="A516" s="19"/>
      <c r="B516" s="23"/>
      <c r="C516" s="23"/>
      <c r="D516" s="22"/>
      <c r="E516" s="22"/>
      <c r="F516" s="22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>
      <c r="A517" s="19"/>
      <c r="B517" s="23"/>
      <c r="C517" s="23"/>
      <c r="D517" s="22"/>
      <c r="E517" s="22"/>
      <c r="F517" s="22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>
      <c r="A518" s="19"/>
      <c r="B518" s="23"/>
      <c r="C518" s="23"/>
      <c r="D518" s="22"/>
      <c r="E518" s="22"/>
      <c r="F518" s="22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>
      <c r="A519" s="19"/>
      <c r="B519" s="23"/>
      <c r="C519" s="23"/>
      <c r="D519" s="22"/>
      <c r="E519" s="22"/>
      <c r="F519" s="22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>
      <c r="A520" s="19"/>
      <c r="B520" s="23"/>
      <c r="C520" s="23"/>
      <c r="D520" s="22"/>
      <c r="E520" s="22"/>
      <c r="F520" s="22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>
      <c r="A521" s="19"/>
      <c r="B521" s="23"/>
      <c r="C521" s="23"/>
      <c r="D521" s="22"/>
      <c r="E521" s="22"/>
      <c r="F521" s="22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>
      <c r="A522" s="19"/>
      <c r="B522" s="23"/>
      <c r="C522" s="23"/>
      <c r="D522" s="22"/>
      <c r="E522" s="22"/>
      <c r="F522" s="22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>
      <c r="A523" s="19"/>
      <c r="B523" s="23"/>
      <c r="C523" s="23"/>
      <c r="D523" s="22"/>
      <c r="E523" s="22"/>
      <c r="F523" s="22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>
      <c r="A524" s="19"/>
      <c r="B524" s="23"/>
      <c r="C524" s="23"/>
      <c r="D524" s="22"/>
      <c r="E524" s="22"/>
      <c r="F524" s="22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>
      <c r="A525" s="19"/>
      <c r="B525" s="23"/>
      <c r="C525" s="23"/>
      <c r="D525" s="22"/>
      <c r="E525" s="22"/>
      <c r="F525" s="22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>
      <c r="A526" s="19"/>
      <c r="B526" s="23"/>
      <c r="C526" s="23"/>
      <c r="D526" s="22"/>
      <c r="E526" s="22"/>
      <c r="F526" s="22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>
      <c r="A527" s="19"/>
      <c r="B527" s="23"/>
      <c r="C527" s="23"/>
      <c r="D527" s="22"/>
      <c r="E527" s="22"/>
      <c r="F527" s="22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>
      <c r="A528" s="19"/>
      <c r="B528" s="23"/>
      <c r="C528" s="23"/>
      <c r="D528" s="22"/>
      <c r="E528" s="22"/>
      <c r="F528" s="22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>
      <c r="A529" s="19"/>
      <c r="B529" s="23"/>
      <c r="C529" s="23"/>
      <c r="D529" s="22"/>
      <c r="E529" s="22"/>
      <c r="F529" s="22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>
      <c r="A530" s="19"/>
      <c r="B530" s="23"/>
      <c r="C530" s="23"/>
      <c r="D530" s="22"/>
      <c r="E530" s="22"/>
      <c r="F530" s="22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>
      <c r="A531" s="19"/>
      <c r="B531" s="23"/>
      <c r="C531" s="23"/>
      <c r="D531" s="22"/>
      <c r="E531" s="22"/>
      <c r="F531" s="22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>
      <c r="A532" s="19"/>
      <c r="B532" s="23"/>
      <c r="C532" s="23"/>
      <c r="D532" s="22"/>
      <c r="E532" s="22"/>
      <c r="F532" s="22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>
      <c r="A533" s="19"/>
      <c r="B533" s="23"/>
      <c r="C533" s="23"/>
      <c r="D533" s="22"/>
      <c r="E533" s="22"/>
      <c r="F533" s="22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>
      <c r="A534" s="19"/>
      <c r="B534" s="23"/>
      <c r="C534" s="23"/>
      <c r="D534" s="22"/>
      <c r="E534" s="22"/>
      <c r="F534" s="22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>
      <c r="A535" s="19"/>
      <c r="B535" s="23"/>
      <c r="C535" s="23"/>
      <c r="D535" s="22"/>
      <c r="E535" s="22"/>
      <c r="F535" s="22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>
      <c r="A536" s="19"/>
      <c r="B536" s="23"/>
      <c r="C536" s="23"/>
      <c r="D536" s="22"/>
      <c r="E536" s="22"/>
      <c r="F536" s="22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>
      <c r="A537" s="19"/>
      <c r="B537" s="23"/>
      <c r="C537" s="23"/>
      <c r="D537" s="22"/>
      <c r="E537" s="22"/>
      <c r="F537" s="22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>
      <c r="A538" s="19"/>
      <c r="B538" s="23"/>
      <c r="C538" s="23"/>
      <c r="D538" s="22"/>
      <c r="E538" s="22"/>
      <c r="F538" s="22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>
      <c r="A539" s="19"/>
      <c r="B539" s="23"/>
      <c r="C539" s="23"/>
      <c r="D539" s="22"/>
      <c r="E539" s="22"/>
      <c r="F539" s="22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>
      <c r="A540" s="19"/>
      <c r="B540" s="23"/>
      <c r="C540" s="23"/>
      <c r="D540" s="22"/>
      <c r="E540" s="22"/>
      <c r="F540" s="22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>
      <c r="A541" s="19"/>
      <c r="B541" s="23"/>
      <c r="C541" s="23"/>
      <c r="D541" s="22"/>
      <c r="E541" s="22"/>
      <c r="F541" s="22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>
      <c r="A542" s="19"/>
      <c r="B542" s="23"/>
      <c r="C542" s="23"/>
      <c r="D542" s="22"/>
      <c r="E542" s="22"/>
      <c r="F542" s="22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>
      <c r="A543" s="19"/>
      <c r="B543" s="23"/>
      <c r="C543" s="23"/>
      <c r="D543" s="22"/>
      <c r="E543" s="22"/>
      <c r="F543" s="22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>
      <c r="A544" s="19"/>
      <c r="B544" s="23"/>
      <c r="C544" s="23"/>
      <c r="D544" s="22"/>
      <c r="E544" s="22"/>
      <c r="F544" s="22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>
      <c r="A545" s="19"/>
      <c r="B545" s="23"/>
      <c r="C545" s="23"/>
      <c r="D545" s="22"/>
      <c r="E545" s="22"/>
      <c r="F545" s="22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>
      <c r="A546" s="19"/>
      <c r="B546" s="23"/>
      <c r="C546" s="23"/>
      <c r="D546" s="22"/>
      <c r="E546" s="22"/>
      <c r="F546" s="22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>
      <c r="A547" s="19"/>
      <c r="B547" s="23"/>
      <c r="C547" s="23"/>
      <c r="D547" s="22"/>
      <c r="E547" s="22"/>
      <c r="F547" s="22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>
      <c r="A548" s="19"/>
      <c r="B548" s="23"/>
      <c r="C548" s="23"/>
      <c r="D548" s="22"/>
      <c r="E548" s="22"/>
      <c r="F548" s="22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>
      <c r="A549" s="19"/>
      <c r="B549" s="23"/>
      <c r="C549" s="23"/>
      <c r="D549" s="22"/>
      <c r="E549" s="22"/>
      <c r="F549" s="22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>
      <c r="A550" s="19"/>
      <c r="B550" s="23"/>
      <c r="C550" s="23"/>
      <c r="D550" s="22"/>
      <c r="E550" s="22"/>
      <c r="F550" s="22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>
      <c r="A551" s="19"/>
      <c r="B551" s="23"/>
      <c r="C551" s="23"/>
      <c r="D551" s="22"/>
      <c r="E551" s="22"/>
      <c r="F551" s="22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>
      <c r="A552" s="19"/>
      <c r="B552" s="23"/>
      <c r="C552" s="23"/>
      <c r="D552" s="22"/>
      <c r="E552" s="22"/>
      <c r="F552" s="22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>
      <c r="A553" s="19"/>
      <c r="B553" s="23"/>
      <c r="C553" s="23"/>
      <c r="D553" s="22"/>
      <c r="E553" s="22"/>
      <c r="F553" s="22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>
      <c r="A554" s="19"/>
      <c r="B554" s="23"/>
      <c r="C554" s="23"/>
      <c r="D554" s="22"/>
      <c r="E554" s="22"/>
      <c r="F554" s="22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>
      <c r="A555" s="19"/>
      <c r="B555" s="23"/>
      <c r="C555" s="23"/>
      <c r="D555" s="22"/>
      <c r="E555" s="22"/>
      <c r="F555" s="22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>
      <c r="A556" s="19"/>
      <c r="B556" s="23"/>
      <c r="C556" s="23"/>
      <c r="D556" s="22"/>
      <c r="E556" s="22"/>
      <c r="F556" s="22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>
      <c r="A557" s="19"/>
      <c r="B557" s="23"/>
      <c r="C557" s="23"/>
      <c r="D557" s="22"/>
      <c r="E557" s="22"/>
      <c r="F557" s="22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>
      <c r="A558" s="19"/>
      <c r="B558" s="23"/>
      <c r="C558" s="23"/>
      <c r="D558" s="22"/>
      <c r="E558" s="22"/>
      <c r="F558" s="22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>
      <c r="A559" s="19"/>
      <c r="B559" s="23"/>
      <c r="C559" s="23"/>
      <c r="D559" s="22"/>
      <c r="E559" s="22"/>
      <c r="F559" s="22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>
      <c r="A560" s="19"/>
      <c r="B560" s="23"/>
      <c r="C560" s="23"/>
      <c r="D560" s="22"/>
      <c r="E560" s="22"/>
      <c r="F560" s="22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>
      <c r="A561" s="19"/>
      <c r="B561" s="23"/>
      <c r="C561" s="23"/>
      <c r="D561" s="22"/>
      <c r="E561" s="22"/>
      <c r="F561" s="22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>
      <c r="A562" s="19"/>
      <c r="B562" s="23"/>
      <c r="C562" s="23"/>
      <c r="D562" s="22"/>
      <c r="E562" s="22"/>
      <c r="F562" s="22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>
      <c r="A563" s="19"/>
      <c r="B563" s="23"/>
      <c r="C563" s="23"/>
      <c r="D563" s="22"/>
      <c r="E563" s="22"/>
      <c r="F563" s="22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>
      <c r="A564" s="19"/>
      <c r="B564" s="23"/>
      <c r="C564" s="23"/>
      <c r="D564" s="22"/>
      <c r="E564" s="22"/>
      <c r="F564" s="22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>
      <c r="A565" s="19"/>
      <c r="B565" s="23"/>
      <c r="C565" s="23"/>
      <c r="D565" s="22"/>
      <c r="E565" s="22"/>
      <c r="F565" s="22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>
      <c r="A566" s="19"/>
      <c r="B566" s="23"/>
      <c r="C566" s="23"/>
      <c r="D566" s="22"/>
      <c r="E566" s="22"/>
      <c r="F566" s="22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>
      <c r="A567" s="19"/>
      <c r="B567" s="23"/>
      <c r="C567" s="23"/>
      <c r="D567" s="22"/>
      <c r="E567" s="22"/>
      <c r="F567" s="22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>
      <c r="A568" s="19"/>
      <c r="B568" s="23"/>
      <c r="C568" s="23"/>
      <c r="D568" s="22"/>
      <c r="E568" s="22"/>
      <c r="F568" s="22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>
      <c r="A569" s="19"/>
      <c r="B569" s="23"/>
      <c r="C569" s="23"/>
      <c r="D569" s="22"/>
      <c r="E569" s="22"/>
      <c r="F569" s="22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>
      <c r="A570" s="19"/>
      <c r="B570" s="23"/>
      <c r="C570" s="23"/>
      <c r="D570" s="22"/>
      <c r="E570" s="22"/>
      <c r="F570" s="22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>
      <c r="A571" s="19"/>
      <c r="B571" s="23"/>
      <c r="C571" s="23"/>
      <c r="D571" s="22"/>
      <c r="E571" s="22"/>
      <c r="F571" s="22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>
      <c r="A572" s="19"/>
      <c r="B572" s="23"/>
      <c r="C572" s="23"/>
      <c r="D572" s="22"/>
      <c r="E572" s="22"/>
      <c r="F572" s="22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>
      <c r="A573" s="19"/>
      <c r="B573" s="23"/>
      <c r="C573" s="23"/>
      <c r="D573" s="22"/>
      <c r="E573" s="22"/>
      <c r="F573" s="22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>
      <c r="A574" s="19"/>
      <c r="B574" s="23"/>
      <c r="C574" s="23"/>
      <c r="D574" s="22"/>
      <c r="E574" s="22"/>
      <c r="F574" s="22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>
      <c r="A575" s="19"/>
      <c r="B575" s="23"/>
      <c r="C575" s="23"/>
      <c r="D575" s="22"/>
      <c r="E575" s="22"/>
      <c r="F575" s="22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>
      <c r="A576" s="19"/>
      <c r="B576" s="23"/>
      <c r="C576" s="23"/>
      <c r="D576" s="22"/>
      <c r="E576" s="22"/>
      <c r="F576" s="22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>
      <c r="A577" s="19"/>
      <c r="B577" s="23"/>
      <c r="C577" s="23"/>
      <c r="D577" s="22"/>
      <c r="E577" s="22"/>
      <c r="F577" s="22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>
      <c r="A578" s="19"/>
      <c r="B578" s="23"/>
      <c r="C578" s="23"/>
      <c r="D578" s="22"/>
      <c r="E578" s="22"/>
      <c r="F578" s="22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>
      <c r="A579" s="19"/>
      <c r="B579" s="23"/>
      <c r="C579" s="23"/>
      <c r="D579" s="22"/>
      <c r="E579" s="22"/>
      <c r="F579" s="22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>
      <c r="A580" s="19"/>
      <c r="B580" s="23"/>
      <c r="C580" s="23"/>
      <c r="D580" s="22"/>
      <c r="E580" s="22"/>
      <c r="F580" s="22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>
      <c r="A581" s="19"/>
      <c r="B581" s="23"/>
      <c r="C581" s="23"/>
      <c r="D581" s="22"/>
      <c r="E581" s="22"/>
      <c r="F581" s="22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>
      <c r="A582" s="19"/>
      <c r="B582" s="23"/>
      <c r="C582" s="23"/>
      <c r="D582" s="22"/>
      <c r="E582" s="22"/>
      <c r="F582" s="22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>
      <c r="A583" s="19"/>
      <c r="B583" s="23"/>
      <c r="C583" s="23"/>
      <c r="D583" s="22"/>
      <c r="E583" s="22"/>
      <c r="F583" s="22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>
      <c r="A584" s="19"/>
      <c r="B584" s="23"/>
      <c r="C584" s="23"/>
      <c r="D584" s="22"/>
      <c r="E584" s="22"/>
      <c r="F584" s="22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>
      <c r="A585" s="19"/>
      <c r="B585" s="23"/>
      <c r="C585" s="23"/>
      <c r="D585" s="22"/>
      <c r="E585" s="22"/>
      <c r="F585" s="22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>
      <c r="A586" s="19"/>
      <c r="B586" s="23"/>
      <c r="C586" s="23"/>
      <c r="D586" s="22"/>
      <c r="E586" s="22"/>
      <c r="F586" s="22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>
      <c r="A587" s="19"/>
      <c r="B587" s="23"/>
      <c r="C587" s="23"/>
      <c r="D587" s="22"/>
      <c r="E587" s="22"/>
      <c r="F587" s="22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>
      <c r="A588" s="19"/>
      <c r="B588" s="23"/>
      <c r="C588" s="23"/>
      <c r="D588" s="22"/>
      <c r="E588" s="22"/>
      <c r="F588" s="22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>
      <c r="A589" s="19"/>
      <c r="B589" s="23"/>
      <c r="C589" s="23"/>
      <c r="D589" s="22"/>
      <c r="E589" s="22"/>
      <c r="F589" s="22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>
      <c r="A590" s="19"/>
      <c r="B590" s="23"/>
      <c r="C590" s="23"/>
      <c r="D590" s="22"/>
      <c r="E590" s="22"/>
      <c r="F590" s="22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>
      <c r="A591" s="19"/>
      <c r="B591" s="23"/>
      <c r="C591" s="23"/>
      <c r="D591" s="22"/>
      <c r="E591" s="22"/>
      <c r="F591" s="22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>
      <c r="A592" s="19"/>
      <c r="B592" s="23"/>
      <c r="C592" s="23"/>
      <c r="D592" s="22"/>
      <c r="E592" s="22"/>
      <c r="F592" s="22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>
      <c r="A593" s="19"/>
      <c r="B593" s="23"/>
      <c r="C593" s="23"/>
      <c r="D593" s="22"/>
      <c r="E593" s="22"/>
      <c r="F593" s="22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>
      <c r="A594" s="19"/>
      <c r="B594" s="23"/>
      <c r="C594" s="23"/>
      <c r="D594" s="22"/>
      <c r="E594" s="22"/>
      <c r="F594" s="22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>
      <c r="A595" s="19"/>
      <c r="B595" s="23"/>
      <c r="C595" s="23"/>
      <c r="D595" s="22"/>
      <c r="E595" s="22"/>
      <c r="F595" s="22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>
      <c r="A596" s="19"/>
      <c r="B596" s="23"/>
      <c r="C596" s="23"/>
      <c r="D596" s="22"/>
      <c r="E596" s="22"/>
      <c r="F596" s="22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>
      <c r="A597" s="19"/>
      <c r="B597" s="23"/>
      <c r="C597" s="23"/>
      <c r="D597" s="22"/>
      <c r="E597" s="22"/>
      <c r="F597" s="22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>
      <c r="A598" s="19"/>
      <c r="B598" s="23"/>
      <c r="C598" s="23"/>
      <c r="D598" s="22"/>
      <c r="E598" s="22"/>
      <c r="F598" s="22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>
      <c r="A599" s="19"/>
      <c r="B599" s="23"/>
      <c r="C599" s="23"/>
      <c r="D599" s="22"/>
      <c r="E599" s="22"/>
      <c r="F599" s="22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>
      <c r="A600" s="19"/>
      <c r="B600" s="23"/>
      <c r="C600" s="23"/>
      <c r="D600" s="22"/>
      <c r="E600" s="22"/>
      <c r="F600" s="22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>
      <c r="A601" s="19"/>
      <c r="B601" s="23"/>
      <c r="C601" s="23"/>
      <c r="D601" s="22"/>
      <c r="E601" s="22"/>
      <c r="F601" s="22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>
      <c r="A602" s="19"/>
      <c r="B602" s="23"/>
      <c r="C602" s="23"/>
      <c r="D602" s="22"/>
      <c r="E602" s="22"/>
      <c r="F602" s="22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>
      <c r="A603" s="19"/>
      <c r="B603" s="23"/>
      <c r="C603" s="23"/>
      <c r="D603" s="22"/>
      <c r="E603" s="22"/>
      <c r="F603" s="22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>
      <c r="A604" s="19"/>
      <c r="B604" s="23"/>
      <c r="C604" s="23"/>
      <c r="D604" s="22"/>
      <c r="E604" s="22"/>
      <c r="F604" s="22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>
      <c r="A605" s="19"/>
      <c r="B605" s="23"/>
      <c r="C605" s="23"/>
      <c r="D605" s="22"/>
      <c r="E605" s="22"/>
      <c r="F605" s="22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>
      <c r="A606" s="19"/>
      <c r="B606" s="23"/>
      <c r="C606" s="23"/>
      <c r="D606" s="22"/>
      <c r="E606" s="22"/>
      <c r="F606" s="22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>
      <c r="A607" s="19"/>
      <c r="B607" s="23"/>
      <c r="C607" s="23"/>
      <c r="D607" s="22"/>
      <c r="E607" s="22"/>
      <c r="F607" s="22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>
      <c r="A608" s="19"/>
      <c r="B608" s="23"/>
      <c r="C608" s="23"/>
      <c r="D608" s="22"/>
      <c r="E608" s="22"/>
      <c r="F608" s="22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>
      <c r="A609" s="19"/>
      <c r="B609" s="23"/>
      <c r="C609" s="23"/>
      <c r="D609" s="22"/>
      <c r="E609" s="22"/>
      <c r="F609" s="22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>
      <c r="A610" s="19"/>
      <c r="B610" s="23"/>
      <c r="C610" s="23"/>
      <c r="D610" s="22"/>
      <c r="E610" s="22"/>
      <c r="F610" s="22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>
      <c r="A611" s="19"/>
      <c r="B611" s="23"/>
      <c r="C611" s="23"/>
      <c r="D611" s="22"/>
      <c r="E611" s="22"/>
      <c r="F611" s="22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>
      <c r="A612" s="19"/>
      <c r="B612" s="23"/>
      <c r="C612" s="23"/>
      <c r="D612" s="22"/>
      <c r="E612" s="22"/>
      <c r="F612" s="22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>
      <c r="A613" s="19"/>
      <c r="B613" s="23"/>
      <c r="C613" s="23"/>
      <c r="D613" s="22"/>
      <c r="E613" s="22"/>
      <c r="F613" s="22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>
      <c r="A614" s="19"/>
      <c r="B614" s="23"/>
      <c r="C614" s="23"/>
      <c r="D614" s="22"/>
      <c r="E614" s="22"/>
      <c r="F614" s="22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>
      <c r="A615" s="19"/>
      <c r="B615" s="23"/>
      <c r="C615" s="23"/>
      <c r="D615" s="22"/>
      <c r="E615" s="22"/>
      <c r="F615" s="22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>
      <c r="A616" s="19"/>
      <c r="B616" s="23"/>
      <c r="C616" s="23"/>
      <c r="D616" s="22"/>
      <c r="E616" s="22"/>
      <c r="F616" s="22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>
      <c r="A617" s="19"/>
      <c r="B617" s="23"/>
      <c r="C617" s="23"/>
      <c r="D617" s="22"/>
      <c r="E617" s="22"/>
      <c r="F617" s="22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>
      <c r="A618" s="19"/>
      <c r="B618" s="23"/>
      <c r="C618" s="23"/>
      <c r="D618" s="22"/>
      <c r="E618" s="22"/>
      <c r="F618" s="22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>
      <c r="A619" s="19"/>
      <c r="B619" s="23"/>
      <c r="C619" s="23"/>
      <c r="D619" s="22"/>
      <c r="E619" s="22"/>
      <c r="F619" s="22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>
      <c r="A620" s="19"/>
      <c r="B620" s="23"/>
      <c r="C620" s="23"/>
      <c r="D620" s="22"/>
      <c r="E620" s="22"/>
      <c r="F620" s="22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>
      <c r="A621" s="19"/>
      <c r="B621" s="23"/>
      <c r="C621" s="23"/>
      <c r="D621" s="22"/>
      <c r="E621" s="22"/>
      <c r="F621" s="22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>
      <c r="A622" s="19"/>
      <c r="B622" s="23"/>
      <c r="C622" s="23"/>
      <c r="D622" s="22"/>
      <c r="E622" s="22"/>
      <c r="F622" s="22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>
      <c r="A623" s="19"/>
      <c r="B623" s="23"/>
      <c r="C623" s="23"/>
      <c r="D623" s="22"/>
      <c r="E623" s="22"/>
      <c r="F623" s="22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>
      <c r="A624" s="19"/>
      <c r="B624" s="23"/>
      <c r="C624" s="23"/>
      <c r="D624" s="22"/>
      <c r="E624" s="22"/>
      <c r="F624" s="22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>
      <c r="A625" s="19"/>
      <c r="B625" s="23"/>
      <c r="C625" s="23"/>
      <c r="D625" s="22"/>
      <c r="E625" s="22"/>
      <c r="F625" s="22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>
      <c r="A626" s="19"/>
      <c r="B626" s="23"/>
      <c r="C626" s="23"/>
      <c r="D626" s="22"/>
      <c r="E626" s="22"/>
      <c r="F626" s="22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>
      <c r="A627" s="19"/>
      <c r="B627" s="23"/>
      <c r="C627" s="23"/>
      <c r="D627" s="22"/>
      <c r="E627" s="22"/>
      <c r="F627" s="22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>
      <c r="A628" s="19"/>
      <c r="B628" s="23"/>
      <c r="C628" s="23"/>
      <c r="D628" s="22"/>
      <c r="E628" s="22"/>
      <c r="F628" s="22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>
      <c r="A629" s="19"/>
      <c r="B629" s="23"/>
      <c r="C629" s="23"/>
      <c r="D629" s="22"/>
      <c r="E629" s="22"/>
      <c r="F629" s="22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>
      <c r="A630" s="19"/>
      <c r="B630" s="23"/>
      <c r="C630" s="23"/>
      <c r="D630" s="22"/>
      <c r="E630" s="22"/>
      <c r="F630" s="22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>
      <c r="A631" s="19"/>
      <c r="B631" s="23"/>
      <c r="C631" s="23"/>
      <c r="D631" s="22"/>
      <c r="E631" s="22"/>
      <c r="F631" s="22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>
      <c r="A632" s="19"/>
      <c r="B632" s="23"/>
      <c r="C632" s="23"/>
      <c r="D632" s="22"/>
      <c r="E632" s="22"/>
      <c r="F632" s="22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>
      <c r="A633" s="19"/>
      <c r="B633" s="23"/>
      <c r="C633" s="23"/>
      <c r="D633" s="22"/>
      <c r="E633" s="22"/>
      <c r="F633" s="22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>
      <c r="A634" s="19"/>
      <c r="B634" s="23"/>
      <c r="C634" s="23"/>
      <c r="D634" s="22"/>
      <c r="E634" s="22"/>
      <c r="F634" s="22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>
      <c r="A635" s="19"/>
      <c r="B635" s="23"/>
      <c r="C635" s="23"/>
      <c r="D635" s="22"/>
      <c r="E635" s="22"/>
      <c r="F635" s="22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>
      <c r="A636" s="19"/>
      <c r="B636" s="23"/>
      <c r="C636" s="23"/>
      <c r="D636" s="22"/>
      <c r="E636" s="22"/>
      <c r="F636" s="22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>
      <c r="A637" s="19"/>
      <c r="B637" s="23"/>
      <c r="C637" s="23"/>
      <c r="D637" s="22"/>
      <c r="E637" s="22"/>
      <c r="F637" s="22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>
      <c r="A638" s="19"/>
      <c r="B638" s="23"/>
      <c r="C638" s="23"/>
      <c r="D638" s="22"/>
      <c r="E638" s="22"/>
      <c r="F638" s="22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>
      <c r="A639" s="19"/>
      <c r="B639" s="23"/>
      <c r="C639" s="23"/>
      <c r="D639" s="22"/>
      <c r="E639" s="22"/>
      <c r="F639" s="22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>
      <c r="A640" s="19"/>
      <c r="B640" s="23"/>
      <c r="C640" s="23"/>
      <c r="D640" s="22"/>
      <c r="E640" s="22"/>
      <c r="F640" s="22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>
      <c r="A641" s="19"/>
      <c r="B641" s="23"/>
      <c r="C641" s="23"/>
      <c r="D641" s="22"/>
      <c r="E641" s="22"/>
      <c r="F641" s="22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>
      <c r="A642" s="19"/>
      <c r="B642" s="23"/>
      <c r="C642" s="23"/>
      <c r="D642" s="22"/>
      <c r="E642" s="22"/>
      <c r="F642" s="22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>
      <c r="A643" s="19"/>
      <c r="B643" s="23"/>
      <c r="C643" s="23"/>
      <c r="D643" s="22"/>
      <c r="E643" s="22"/>
      <c r="F643" s="22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>
      <c r="A644" s="19"/>
      <c r="B644" s="23"/>
      <c r="C644" s="23"/>
      <c r="D644" s="22"/>
      <c r="E644" s="22"/>
      <c r="F644" s="22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>
      <c r="A645" s="19"/>
      <c r="B645" s="23"/>
      <c r="C645" s="23"/>
      <c r="D645" s="22"/>
      <c r="E645" s="22"/>
      <c r="F645" s="22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>
      <c r="A646" s="19"/>
      <c r="B646" s="23"/>
      <c r="C646" s="23"/>
      <c r="D646" s="22"/>
      <c r="E646" s="22"/>
      <c r="F646" s="22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>
      <c r="A647" s="19"/>
      <c r="B647" s="23"/>
      <c r="C647" s="23"/>
      <c r="D647" s="22"/>
      <c r="E647" s="22"/>
      <c r="F647" s="22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>
      <c r="A648" s="19"/>
      <c r="B648" s="23"/>
      <c r="C648" s="23"/>
      <c r="D648" s="22"/>
      <c r="E648" s="22"/>
      <c r="F648" s="22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>
      <c r="A649" s="19"/>
      <c r="B649" s="23"/>
      <c r="C649" s="23"/>
      <c r="D649" s="22"/>
      <c r="E649" s="22"/>
      <c r="F649" s="22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>
      <c r="A650" s="19"/>
      <c r="B650" s="23"/>
      <c r="C650" s="23"/>
      <c r="D650" s="22"/>
      <c r="E650" s="22"/>
      <c r="F650" s="22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>
      <c r="A651" s="19"/>
      <c r="B651" s="23"/>
      <c r="C651" s="23"/>
      <c r="D651" s="22"/>
      <c r="E651" s="22"/>
      <c r="F651" s="22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>
      <c r="A652" s="19"/>
      <c r="B652" s="23"/>
      <c r="C652" s="23"/>
      <c r="D652" s="22"/>
      <c r="E652" s="22"/>
      <c r="F652" s="22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>
      <c r="A653" s="19"/>
      <c r="B653" s="23"/>
      <c r="C653" s="23"/>
      <c r="D653" s="22"/>
      <c r="E653" s="22"/>
      <c r="F653" s="22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>
      <c r="A654" s="19"/>
      <c r="B654" s="23"/>
      <c r="C654" s="23"/>
      <c r="D654" s="22"/>
      <c r="E654" s="22"/>
      <c r="F654" s="22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>
      <c r="A655" s="19"/>
      <c r="B655" s="23"/>
      <c r="C655" s="23"/>
      <c r="D655" s="22"/>
      <c r="E655" s="22"/>
      <c r="F655" s="22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>
      <c r="A656" s="19"/>
      <c r="B656" s="23"/>
      <c r="C656" s="23"/>
      <c r="D656" s="22"/>
      <c r="E656" s="22"/>
      <c r="F656" s="22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>
      <c r="A657" s="19"/>
      <c r="B657" s="23"/>
      <c r="C657" s="23"/>
      <c r="D657" s="22"/>
      <c r="E657" s="22"/>
      <c r="F657" s="22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>
      <c r="A658" s="19"/>
      <c r="B658" s="23"/>
      <c r="C658" s="23"/>
      <c r="D658" s="22"/>
      <c r="E658" s="22"/>
      <c r="F658" s="22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>
      <c r="A659" s="19"/>
      <c r="B659" s="23"/>
      <c r="C659" s="23"/>
      <c r="D659" s="22"/>
      <c r="E659" s="22"/>
      <c r="F659" s="22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>
      <c r="A660" s="19"/>
      <c r="B660" s="23"/>
      <c r="C660" s="23"/>
      <c r="D660" s="22"/>
      <c r="E660" s="22"/>
      <c r="F660" s="22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>
      <c r="A661" s="19"/>
      <c r="B661" s="23"/>
      <c r="C661" s="23"/>
      <c r="D661" s="22"/>
      <c r="E661" s="22"/>
      <c r="F661" s="22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>
      <c r="A662" s="19"/>
      <c r="B662" s="23"/>
      <c r="C662" s="23"/>
      <c r="D662" s="22"/>
      <c r="E662" s="22"/>
      <c r="F662" s="22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>
      <c r="A663" s="19"/>
      <c r="B663" s="23"/>
      <c r="C663" s="23"/>
      <c r="D663" s="22"/>
      <c r="E663" s="22"/>
      <c r="F663" s="22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>
      <c r="A664" s="19"/>
      <c r="B664" s="23"/>
      <c r="C664" s="23"/>
      <c r="D664" s="22"/>
      <c r="E664" s="22"/>
      <c r="F664" s="22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>
      <c r="A665" s="19"/>
      <c r="B665" s="23"/>
      <c r="C665" s="23"/>
      <c r="D665" s="22"/>
      <c r="E665" s="22"/>
      <c r="F665" s="22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>
      <c r="A666" s="19"/>
      <c r="B666" s="23"/>
      <c r="C666" s="23"/>
      <c r="D666" s="22"/>
      <c r="E666" s="22"/>
      <c r="F666" s="22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>
      <c r="A667" s="19"/>
      <c r="B667" s="23"/>
      <c r="C667" s="23"/>
      <c r="D667" s="22"/>
      <c r="E667" s="22"/>
      <c r="F667" s="22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>
      <c r="A668" s="19"/>
      <c r="B668" s="23"/>
      <c r="C668" s="23"/>
      <c r="D668" s="22"/>
      <c r="E668" s="22"/>
      <c r="F668" s="22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>
      <c r="A669" s="19"/>
      <c r="B669" s="23"/>
      <c r="C669" s="23"/>
      <c r="D669" s="22"/>
      <c r="E669" s="22"/>
      <c r="F669" s="22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>
      <c r="A670" s="19"/>
      <c r="B670" s="23"/>
      <c r="C670" s="23"/>
      <c r="D670" s="22"/>
      <c r="E670" s="22"/>
      <c r="F670" s="22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>
      <c r="A671" s="19"/>
      <c r="B671" s="23"/>
      <c r="C671" s="23"/>
      <c r="D671" s="22"/>
      <c r="E671" s="22"/>
      <c r="F671" s="22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>
      <c r="A672" s="19"/>
      <c r="B672" s="23"/>
      <c r="C672" s="23"/>
      <c r="D672" s="22"/>
      <c r="E672" s="22"/>
      <c r="F672" s="22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>
      <c r="A673" s="19"/>
      <c r="B673" s="23"/>
      <c r="C673" s="23"/>
      <c r="D673" s="22"/>
      <c r="E673" s="22"/>
      <c r="F673" s="22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>
      <c r="A674" s="19"/>
      <c r="B674" s="23"/>
      <c r="C674" s="23"/>
      <c r="D674" s="22"/>
      <c r="E674" s="22"/>
      <c r="F674" s="22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>
      <c r="A675" s="19"/>
      <c r="B675" s="23"/>
      <c r="C675" s="23"/>
      <c r="D675" s="22"/>
      <c r="E675" s="22"/>
      <c r="F675" s="22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>
      <c r="A676" s="19"/>
      <c r="B676" s="23"/>
      <c r="C676" s="23"/>
      <c r="D676" s="22"/>
      <c r="E676" s="22"/>
      <c r="F676" s="22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>
      <c r="A677" s="19"/>
      <c r="B677" s="23"/>
      <c r="C677" s="23"/>
      <c r="D677" s="22"/>
      <c r="E677" s="22"/>
      <c r="F677" s="22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>
      <c r="A678" s="19"/>
      <c r="B678" s="23"/>
      <c r="C678" s="23"/>
      <c r="D678" s="22"/>
      <c r="E678" s="22"/>
      <c r="F678" s="22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>
      <c r="A679" s="19"/>
      <c r="B679" s="23"/>
      <c r="C679" s="23"/>
      <c r="D679" s="22"/>
      <c r="E679" s="22"/>
      <c r="F679" s="22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>
      <c r="A680" s="19"/>
      <c r="B680" s="23"/>
      <c r="C680" s="23"/>
      <c r="D680" s="22"/>
      <c r="E680" s="22"/>
      <c r="F680" s="22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>
      <c r="A681" s="19"/>
      <c r="B681" s="23"/>
      <c r="C681" s="23"/>
      <c r="D681" s="22"/>
      <c r="E681" s="22"/>
      <c r="F681" s="22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>
      <c r="A682" s="19"/>
      <c r="B682" s="23"/>
      <c r="C682" s="23"/>
      <c r="D682" s="22"/>
      <c r="E682" s="22"/>
      <c r="F682" s="22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>
      <c r="A683" s="19"/>
      <c r="B683" s="23"/>
      <c r="C683" s="23"/>
      <c r="D683" s="22"/>
      <c r="E683" s="22"/>
      <c r="F683" s="22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>
      <c r="A684" s="19"/>
      <c r="B684" s="23"/>
      <c r="C684" s="23"/>
      <c r="D684" s="22"/>
      <c r="E684" s="22"/>
      <c r="F684" s="22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>
      <c r="A685" s="19"/>
      <c r="B685" s="23"/>
      <c r="C685" s="23"/>
      <c r="D685" s="22"/>
      <c r="E685" s="22"/>
      <c r="F685" s="22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>
      <c r="A686" s="19"/>
      <c r="B686" s="23"/>
      <c r="C686" s="23"/>
      <c r="D686" s="22"/>
      <c r="E686" s="22"/>
      <c r="F686" s="22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>
      <c r="A687" s="19"/>
      <c r="B687" s="23"/>
      <c r="C687" s="23"/>
      <c r="D687" s="22"/>
      <c r="E687" s="22"/>
      <c r="F687" s="22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>
      <c r="A688" s="19"/>
      <c r="B688" s="23"/>
      <c r="C688" s="23"/>
      <c r="D688" s="22"/>
      <c r="E688" s="22"/>
      <c r="F688" s="22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>
      <c r="A689" s="19"/>
      <c r="B689" s="23"/>
      <c r="C689" s="23"/>
      <c r="D689" s="22"/>
      <c r="E689" s="22"/>
      <c r="F689" s="22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>
      <c r="A690" s="19"/>
      <c r="B690" s="23"/>
      <c r="C690" s="23"/>
      <c r="D690" s="22"/>
      <c r="E690" s="22"/>
      <c r="F690" s="22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>
      <c r="A691" s="19"/>
      <c r="B691" s="23"/>
      <c r="C691" s="23"/>
      <c r="D691" s="22"/>
      <c r="E691" s="22"/>
      <c r="F691" s="22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>
      <c r="A692" s="19"/>
      <c r="B692" s="23"/>
      <c r="C692" s="23"/>
      <c r="D692" s="22"/>
      <c r="E692" s="22"/>
      <c r="F692" s="22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>
      <c r="A693" s="19"/>
      <c r="B693" s="23"/>
      <c r="C693" s="23"/>
      <c r="D693" s="22"/>
      <c r="E693" s="22"/>
      <c r="F693" s="22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>
      <c r="A694" s="19"/>
      <c r="B694" s="23"/>
      <c r="C694" s="23"/>
      <c r="D694" s="22"/>
      <c r="E694" s="22"/>
      <c r="F694" s="22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>
      <c r="A695" s="19"/>
      <c r="B695" s="23"/>
      <c r="C695" s="23"/>
      <c r="D695" s="22"/>
      <c r="E695" s="22"/>
      <c r="F695" s="22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>
      <c r="A696" s="19"/>
      <c r="B696" s="23"/>
      <c r="C696" s="23"/>
      <c r="D696" s="22"/>
      <c r="E696" s="22"/>
      <c r="F696" s="22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>
      <c r="A697" s="19"/>
      <c r="B697" s="23"/>
      <c r="C697" s="23"/>
      <c r="D697" s="22"/>
      <c r="E697" s="22"/>
      <c r="F697" s="22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>
      <c r="A698" s="19"/>
      <c r="B698" s="23"/>
      <c r="C698" s="23"/>
      <c r="D698" s="22"/>
      <c r="E698" s="22"/>
      <c r="F698" s="22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>
      <c r="A699" s="19"/>
      <c r="B699" s="23"/>
      <c r="C699" s="23"/>
      <c r="D699" s="22"/>
      <c r="E699" s="22"/>
      <c r="F699" s="22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>
      <c r="A700" s="19"/>
      <c r="B700" s="23"/>
      <c r="C700" s="23"/>
      <c r="D700" s="22"/>
      <c r="E700" s="22"/>
      <c r="F700" s="22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>
      <c r="A701" s="19"/>
      <c r="B701" s="23"/>
      <c r="C701" s="23"/>
      <c r="D701" s="22"/>
      <c r="E701" s="22"/>
      <c r="F701" s="22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>
      <c r="A702" s="19"/>
      <c r="B702" s="23"/>
      <c r="C702" s="23"/>
      <c r="D702" s="22"/>
      <c r="E702" s="22"/>
      <c r="F702" s="22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>
      <c r="A703" s="19"/>
      <c r="B703" s="23"/>
      <c r="C703" s="23"/>
      <c r="D703" s="22"/>
      <c r="E703" s="22"/>
      <c r="F703" s="22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>
      <c r="A704" s="19"/>
      <c r="B704" s="23"/>
      <c r="C704" s="23"/>
      <c r="D704" s="22"/>
      <c r="E704" s="22"/>
      <c r="F704" s="22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>
      <c r="A705" s="19"/>
      <c r="B705" s="23"/>
      <c r="C705" s="23"/>
      <c r="D705" s="22"/>
      <c r="E705" s="22"/>
      <c r="F705" s="22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>
      <c r="A706" s="19"/>
      <c r="B706" s="23"/>
      <c r="C706" s="23"/>
      <c r="D706" s="22"/>
      <c r="E706" s="22"/>
      <c r="F706" s="22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>
      <c r="A707" s="19"/>
      <c r="B707" s="23"/>
      <c r="C707" s="23"/>
      <c r="D707" s="22"/>
      <c r="E707" s="22"/>
      <c r="F707" s="22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>
      <c r="A708" s="19"/>
      <c r="B708" s="23"/>
      <c r="C708" s="23"/>
      <c r="D708" s="22"/>
      <c r="E708" s="22"/>
      <c r="F708" s="22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>
      <c r="A709" s="19"/>
      <c r="B709" s="23"/>
      <c r="C709" s="23"/>
      <c r="D709" s="22"/>
      <c r="E709" s="22"/>
      <c r="F709" s="22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>
      <c r="A710" s="19"/>
      <c r="B710" s="23"/>
      <c r="C710" s="23"/>
      <c r="D710" s="22"/>
      <c r="E710" s="22"/>
      <c r="F710" s="22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>
      <c r="A711" s="19"/>
      <c r="B711" s="23"/>
      <c r="C711" s="23"/>
      <c r="D711" s="22"/>
      <c r="E711" s="22"/>
      <c r="F711" s="22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>
      <c r="A712" s="19"/>
      <c r="B712" s="23"/>
      <c r="C712" s="23"/>
      <c r="D712" s="22"/>
      <c r="E712" s="22"/>
      <c r="F712" s="22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>
      <c r="A713" s="19"/>
      <c r="B713" s="23"/>
      <c r="C713" s="23"/>
      <c r="D713" s="22"/>
      <c r="E713" s="22"/>
      <c r="F713" s="22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>
      <c r="A714" s="19"/>
      <c r="B714" s="23"/>
      <c r="C714" s="23"/>
      <c r="D714" s="22"/>
      <c r="E714" s="22"/>
      <c r="F714" s="22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>
      <c r="A715" s="19"/>
      <c r="B715" s="23"/>
      <c r="C715" s="23"/>
      <c r="D715" s="22"/>
      <c r="E715" s="22"/>
      <c r="F715" s="22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>
      <c r="A716" s="19"/>
      <c r="B716" s="23"/>
      <c r="C716" s="23"/>
      <c r="D716" s="22"/>
      <c r="E716" s="22"/>
      <c r="F716" s="22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>
      <c r="A717" s="19"/>
      <c r="B717" s="23"/>
      <c r="C717" s="23"/>
      <c r="D717" s="22"/>
      <c r="E717" s="22"/>
      <c r="F717" s="22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>
      <c r="A718" s="19"/>
      <c r="B718" s="23"/>
      <c r="C718" s="23"/>
      <c r="D718" s="22"/>
      <c r="E718" s="22"/>
      <c r="F718" s="22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>
      <c r="A719" s="19"/>
      <c r="B719" s="23"/>
      <c r="C719" s="23"/>
      <c r="D719" s="22"/>
      <c r="E719" s="22"/>
      <c r="F719" s="22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>
      <c r="A720" s="19"/>
      <c r="B720" s="23"/>
      <c r="C720" s="23"/>
      <c r="D720" s="22"/>
      <c r="E720" s="22"/>
      <c r="F720" s="22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>
      <c r="A721" s="19"/>
      <c r="B721" s="23"/>
      <c r="C721" s="23"/>
      <c r="D721" s="22"/>
      <c r="E721" s="22"/>
      <c r="F721" s="22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>
      <c r="A722" s="19"/>
      <c r="B722" s="23"/>
      <c r="C722" s="23"/>
      <c r="D722" s="22"/>
      <c r="E722" s="22"/>
      <c r="F722" s="22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>
      <c r="A723" s="19"/>
      <c r="B723" s="23"/>
      <c r="C723" s="23"/>
      <c r="D723" s="22"/>
      <c r="E723" s="22"/>
      <c r="F723" s="22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>
      <c r="A724" s="19"/>
      <c r="B724" s="23"/>
      <c r="C724" s="23"/>
      <c r="D724" s="22"/>
      <c r="E724" s="22"/>
      <c r="F724" s="22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>
      <c r="A725" s="19"/>
      <c r="B725" s="23"/>
      <c r="C725" s="23"/>
      <c r="D725" s="22"/>
      <c r="E725" s="22"/>
      <c r="F725" s="22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>
      <c r="A726" s="19"/>
      <c r="B726" s="23"/>
      <c r="C726" s="23"/>
      <c r="D726" s="22"/>
      <c r="E726" s="22"/>
      <c r="F726" s="22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>
      <c r="A727" s="19"/>
      <c r="B727" s="23"/>
      <c r="C727" s="23"/>
      <c r="D727" s="22"/>
      <c r="E727" s="22"/>
      <c r="F727" s="22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>
      <c r="A728" s="19"/>
      <c r="B728" s="23"/>
      <c r="C728" s="23"/>
      <c r="D728" s="22"/>
      <c r="E728" s="22"/>
      <c r="F728" s="22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>
      <c r="A729" s="19"/>
      <c r="B729" s="23"/>
      <c r="C729" s="23"/>
      <c r="D729" s="22"/>
      <c r="E729" s="22"/>
      <c r="F729" s="22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>
      <c r="A730" s="19"/>
      <c r="B730" s="23"/>
      <c r="C730" s="23"/>
      <c r="D730" s="22"/>
      <c r="E730" s="22"/>
      <c r="F730" s="22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>
      <c r="A731" s="19"/>
      <c r="B731" s="23"/>
      <c r="C731" s="23"/>
      <c r="D731" s="22"/>
      <c r="E731" s="22"/>
      <c r="F731" s="22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>
      <c r="A732" s="19"/>
      <c r="B732" s="23"/>
      <c r="C732" s="23"/>
      <c r="D732" s="22"/>
      <c r="E732" s="22"/>
      <c r="F732" s="22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>
      <c r="A733" s="19"/>
      <c r="B733" s="23"/>
      <c r="C733" s="23"/>
      <c r="D733" s="22"/>
      <c r="E733" s="22"/>
      <c r="F733" s="22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>
      <c r="A734" s="19"/>
      <c r="B734" s="23"/>
      <c r="C734" s="23"/>
      <c r="D734" s="22"/>
      <c r="E734" s="22"/>
      <c r="F734" s="22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>
      <c r="A735" s="19"/>
      <c r="B735" s="23"/>
      <c r="C735" s="23"/>
      <c r="D735" s="22"/>
      <c r="E735" s="22"/>
      <c r="F735" s="22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>
      <c r="A736" s="19"/>
      <c r="B736" s="23"/>
      <c r="C736" s="23"/>
      <c r="D736" s="22"/>
      <c r="E736" s="22"/>
      <c r="F736" s="22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>
      <c r="A737" s="19"/>
      <c r="B737" s="23"/>
      <c r="C737" s="23"/>
      <c r="D737" s="22"/>
      <c r="E737" s="22"/>
      <c r="F737" s="22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>
      <c r="A738" s="19"/>
      <c r="B738" s="23"/>
      <c r="C738" s="23"/>
      <c r="D738" s="22"/>
      <c r="E738" s="22"/>
      <c r="F738" s="22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>
      <c r="A739" s="19"/>
      <c r="B739" s="23"/>
      <c r="C739" s="23"/>
      <c r="D739" s="22"/>
      <c r="E739" s="22"/>
      <c r="F739" s="22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>
      <c r="A740" s="19"/>
      <c r="B740" s="23"/>
      <c r="C740" s="23"/>
      <c r="D740" s="22"/>
      <c r="E740" s="22"/>
      <c r="F740" s="22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>
      <c r="A741" s="19"/>
      <c r="B741" s="23"/>
      <c r="C741" s="23"/>
      <c r="D741" s="22"/>
      <c r="E741" s="22"/>
      <c r="F741" s="22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>
      <c r="A742" s="19"/>
      <c r="B742" s="23"/>
      <c r="C742" s="23"/>
      <c r="D742" s="22"/>
      <c r="E742" s="22"/>
      <c r="F742" s="22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>
      <c r="A743" s="19"/>
      <c r="B743" s="23"/>
      <c r="C743" s="23"/>
      <c r="D743" s="22"/>
      <c r="E743" s="22"/>
      <c r="F743" s="22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>
      <c r="A744" s="19"/>
      <c r="B744" s="23"/>
      <c r="C744" s="23"/>
      <c r="D744" s="22"/>
      <c r="E744" s="22"/>
      <c r="F744" s="22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>
      <c r="A745" s="19"/>
      <c r="B745" s="23"/>
      <c r="C745" s="23"/>
      <c r="D745" s="22"/>
      <c r="E745" s="22"/>
      <c r="F745" s="22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>
      <c r="A746" s="19"/>
      <c r="B746" s="23"/>
      <c r="C746" s="23"/>
      <c r="D746" s="22"/>
      <c r="E746" s="22"/>
      <c r="F746" s="22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>
      <c r="A747" s="19"/>
      <c r="B747" s="23"/>
      <c r="C747" s="23"/>
      <c r="D747" s="22"/>
      <c r="E747" s="22"/>
      <c r="F747" s="22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>
      <c r="A748" s="19"/>
      <c r="B748" s="23"/>
      <c r="C748" s="23"/>
      <c r="D748" s="22"/>
      <c r="E748" s="22"/>
      <c r="F748" s="22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>
      <c r="A749" s="19"/>
      <c r="B749" s="23"/>
      <c r="C749" s="23"/>
      <c r="D749" s="22"/>
      <c r="E749" s="22"/>
      <c r="F749" s="22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>
      <c r="A750" s="19"/>
      <c r="B750" s="23"/>
      <c r="C750" s="23"/>
      <c r="D750" s="22"/>
      <c r="E750" s="22"/>
      <c r="F750" s="22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>
      <c r="A751" s="19"/>
      <c r="B751" s="23"/>
      <c r="C751" s="23"/>
      <c r="D751" s="22"/>
      <c r="E751" s="22"/>
      <c r="F751" s="22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>
      <c r="A752" s="19"/>
      <c r="B752" s="23"/>
      <c r="C752" s="23"/>
      <c r="D752" s="22"/>
      <c r="E752" s="22"/>
      <c r="F752" s="22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>
      <c r="A753" s="19"/>
      <c r="B753" s="23"/>
      <c r="C753" s="23"/>
      <c r="D753" s="22"/>
      <c r="E753" s="22"/>
      <c r="F753" s="22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>
      <c r="A754" s="19"/>
      <c r="B754" s="23"/>
      <c r="C754" s="23"/>
      <c r="D754" s="22"/>
      <c r="E754" s="22"/>
      <c r="F754" s="22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>
      <c r="A755" s="19"/>
      <c r="B755" s="23"/>
      <c r="C755" s="23"/>
      <c r="D755" s="22"/>
      <c r="E755" s="22"/>
      <c r="F755" s="22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>
      <c r="A756" s="19"/>
      <c r="B756" s="23"/>
      <c r="C756" s="23"/>
      <c r="D756" s="22"/>
      <c r="E756" s="22"/>
      <c r="F756" s="22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>
      <c r="A757" s="19"/>
      <c r="B757" s="23"/>
      <c r="C757" s="23"/>
      <c r="D757" s="22"/>
      <c r="E757" s="22"/>
      <c r="F757" s="22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>
      <c r="A758" s="19"/>
      <c r="B758" s="23"/>
      <c r="C758" s="23"/>
      <c r="D758" s="22"/>
      <c r="E758" s="22"/>
      <c r="F758" s="22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>
      <c r="A759" s="19"/>
      <c r="B759" s="23"/>
      <c r="C759" s="23"/>
      <c r="D759" s="22"/>
      <c r="E759" s="22"/>
      <c r="F759" s="22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>
      <c r="A760" s="19"/>
      <c r="B760" s="23"/>
      <c r="C760" s="23"/>
      <c r="D760" s="22"/>
      <c r="E760" s="22"/>
      <c r="F760" s="22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>
      <c r="A761" s="19"/>
      <c r="B761" s="23"/>
      <c r="C761" s="23"/>
      <c r="D761" s="22"/>
      <c r="E761" s="22"/>
      <c r="F761" s="22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>
      <c r="A762" s="19"/>
      <c r="B762" s="23"/>
      <c r="C762" s="23"/>
      <c r="D762" s="22"/>
      <c r="E762" s="22"/>
      <c r="F762" s="22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>
      <c r="A763" s="19"/>
      <c r="B763" s="23"/>
      <c r="C763" s="23"/>
      <c r="D763" s="22"/>
      <c r="E763" s="22"/>
      <c r="F763" s="22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>
      <c r="A764" s="19"/>
      <c r="B764" s="23"/>
      <c r="C764" s="23"/>
      <c r="D764" s="22"/>
      <c r="E764" s="22"/>
      <c r="F764" s="22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>
      <c r="A765" s="19"/>
      <c r="B765" s="23"/>
      <c r="C765" s="23"/>
      <c r="D765" s="22"/>
      <c r="E765" s="22"/>
      <c r="F765" s="22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>
      <c r="A766" s="19"/>
      <c r="B766" s="23"/>
      <c r="C766" s="23"/>
      <c r="D766" s="22"/>
      <c r="E766" s="22"/>
      <c r="F766" s="22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>
      <c r="A767" s="19"/>
      <c r="B767" s="23"/>
      <c r="C767" s="23"/>
      <c r="D767" s="22"/>
      <c r="E767" s="22"/>
      <c r="F767" s="22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>
      <c r="A768" s="19"/>
      <c r="B768" s="23"/>
      <c r="C768" s="23"/>
      <c r="D768" s="22"/>
      <c r="E768" s="22"/>
      <c r="F768" s="22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>
      <c r="A769" s="19"/>
      <c r="B769" s="23"/>
      <c r="C769" s="23"/>
      <c r="D769" s="22"/>
      <c r="E769" s="22"/>
      <c r="F769" s="22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>
      <c r="A770" s="19"/>
      <c r="B770" s="23"/>
      <c r="C770" s="23"/>
      <c r="D770" s="22"/>
      <c r="E770" s="22"/>
      <c r="F770" s="22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>
      <c r="A771" s="19"/>
      <c r="B771" s="23"/>
      <c r="C771" s="23"/>
      <c r="D771" s="22"/>
      <c r="E771" s="22"/>
      <c r="F771" s="22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>
      <c r="A772" s="19"/>
      <c r="B772" s="23"/>
      <c r="C772" s="23"/>
      <c r="D772" s="22"/>
      <c r="E772" s="22"/>
      <c r="F772" s="22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>
      <c r="A773" s="19"/>
      <c r="B773" s="23"/>
      <c r="C773" s="23"/>
      <c r="D773" s="22"/>
      <c r="E773" s="22"/>
      <c r="F773" s="22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>
      <c r="A774" s="19"/>
      <c r="B774" s="23"/>
      <c r="C774" s="23"/>
      <c r="D774" s="22"/>
      <c r="E774" s="22"/>
      <c r="F774" s="22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>
      <c r="A775" s="19"/>
      <c r="B775" s="23"/>
      <c r="C775" s="23"/>
      <c r="D775" s="22"/>
      <c r="E775" s="22"/>
      <c r="F775" s="22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>
      <c r="A776" s="19"/>
      <c r="B776" s="23"/>
      <c r="C776" s="23"/>
      <c r="D776" s="22"/>
      <c r="E776" s="22"/>
      <c r="F776" s="22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>
      <c r="A777" s="19"/>
      <c r="B777" s="23"/>
      <c r="C777" s="23"/>
      <c r="D777" s="22"/>
      <c r="E777" s="22"/>
      <c r="F777" s="22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>
      <c r="A778" s="19"/>
      <c r="B778" s="23"/>
      <c r="C778" s="23"/>
      <c r="D778" s="22"/>
      <c r="E778" s="22"/>
      <c r="F778" s="22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>
      <c r="A779" s="19"/>
      <c r="B779" s="23"/>
      <c r="C779" s="23"/>
      <c r="D779" s="22"/>
      <c r="E779" s="22"/>
      <c r="F779" s="22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>
      <c r="A780" s="19"/>
      <c r="B780" s="23"/>
      <c r="C780" s="23"/>
      <c r="D780" s="22"/>
      <c r="E780" s="22"/>
      <c r="F780" s="22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>
      <c r="A781" s="19"/>
      <c r="B781" s="23"/>
      <c r="C781" s="23"/>
      <c r="D781" s="22"/>
      <c r="E781" s="22"/>
      <c r="F781" s="22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>
      <c r="A782" s="19"/>
      <c r="B782" s="23"/>
      <c r="C782" s="23"/>
      <c r="D782" s="22"/>
      <c r="E782" s="22"/>
      <c r="F782" s="22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>
      <c r="A783" s="19"/>
      <c r="B783" s="23"/>
      <c r="C783" s="23"/>
      <c r="D783" s="22"/>
      <c r="E783" s="22"/>
      <c r="F783" s="22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>
      <c r="A784" s="19"/>
      <c r="B784" s="23"/>
      <c r="C784" s="23"/>
      <c r="D784" s="22"/>
      <c r="E784" s="22"/>
      <c r="F784" s="22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>
      <c r="A785" s="19"/>
      <c r="B785" s="23"/>
      <c r="C785" s="23"/>
      <c r="D785" s="22"/>
      <c r="E785" s="22"/>
      <c r="F785" s="22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>
      <c r="A786" s="19"/>
      <c r="B786" s="23"/>
      <c r="C786" s="23"/>
      <c r="D786" s="22"/>
      <c r="E786" s="22"/>
      <c r="F786" s="22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>
      <c r="A787" s="19"/>
      <c r="B787" s="23"/>
      <c r="C787" s="23"/>
      <c r="D787" s="22"/>
      <c r="E787" s="22"/>
      <c r="F787" s="22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>
      <c r="A788" s="19"/>
      <c r="B788" s="23"/>
      <c r="C788" s="23"/>
      <c r="D788" s="22"/>
      <c r="E788" s="22"/>
      <c r="F788" s="22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>
      <c r="A789" s="19"/>
      <c r="B789" s="23"/>
      <c r="C789" s="23"/>
      <c r="D789" s="22"/>
      <c r="E789" s="22"/>
      <c r="F789" s="22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>
      <c r="A790" s="19"/>
      <c r="B790" s="23"/>
      <c r="C790" s="23"/>
      <c r="D790" s="22"/>
      <c r="E790" s="22"/>
      <c r="F790" s="22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>
      <c r="A791" s="19"/>
      <c r="B791" s="23"/>
      <c r="C791" s="23"/>
      <c r="D791" s="22"/>
      <c r="E791" s="22"/>
      <c r="F791" s="22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>
      <c r="A792" s="19"/>
      <c r="B792" s="23"/>
      <c r="C792" s="23"/>
      <c r="D792" s="22"/>
      <c r="E792" s="22"/>
      <c r="F792" s="22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>
      <c r="A793" s="19"/>
      <c r="B793" s="23"/>
      <c r="C793" s="23"/>
      <c r="D793" s="22"/>
      <c r="E793" s="22"/>
      <c r="F793" s="22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>
      <c r="A794" s="19"/>
      <c r="B794" s="23"/>
      <c r="C794" s="23"/>
      <c r="D794" s="22"/>
      <c r="E794" s="22"/>
      <c r="F794" s="22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>
      <c r="A795" s="19"/>
      <c r="B795" s="23"/>
      <c r="C795" s="23"/>
      <c r="D795" s="22"/>
      <c r="E795" s="22"/>
      <c r="F795" s="22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>
      <c r="A796" s="19"/>
      <c r="B796" s="23"/>
      <c r="C796" s="23"/>
      <c r="D796" s="22"/>
      <c r="E796" s="22"/>
      <c r="F796" s="22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>
      <c r="A797" s="19"/>
      <c r="B797" s="23"/>
      <c r="C797" s="23"/>
      <c r="D797" s="22"/>
      <c r="E797" s="22"/>
      <c r="F797" s="22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>
      <c r="A798" s="19"/>
      <c r="B798" s="23"/>
      <c r="C798" s="23"/>
      <c r="D798" s="22"/>
      <c r="E798" s="22"/>
      <c r="F798" s="22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>
      <c r="A799" s="19"/>
      <c r="B799" s="23"/>
      <c r="C799" s="23"/>
      <c r="D799" s="22"/>
      <c r="E799" s="22"/>
      <c r="F799" s="22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>
      <c r="A800" s="19"/>
      <c r="B800" s="23"/>
      <c r="C800" s="23"/>
      <c r="D800" s="22"/>
      <c r="E800" s="22"/>
      <c r="F800" s="22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>
      <c r="A801" s="19"/>
      <c r="B801" s="23"/>
      <c r="C801" s="23"/>
      <c r="D801" s="22"/>
      <c r="E801" s="22"/>
      <c r="F801" s="22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>
      <c r="A802" s="19"/>
      <c r="B802" s="23"/>
      <c r="C802" s="23"/>
      <c r="D802" s="22"/>
      <c r="E802" s="22"/>
      <c r="F802" s="22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>
      <c r="A803" s="19"/>
      <c r="B803" s="23"/>
      <c r="C803" s="23"/>
      <c r="D803" s="22"/>
      <c r="E803" s="22"/>
      <c r="F803" s="22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>
      <c r="A804" s="19"/>
      <c r="B804" s="23"/>
      <c r="C804" s="23"/>
      <c r="D804" s="22"/>
      <c r="E804" s="22"/>
      <c r="F804" s="22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>
      <c r="A805" s="19"/>
      <c r="B805" s="23"/>
      <c r="C805" s="23"/>
      <c r="D805" s="22"/>
      <c r="E805" s="22"/>
      <c r="F805" s="22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>
      <c r="A806" s="19"/>
      <c r="B806" s="23"/>
      <c r="C806" s="23"/>
      <c r="D806" s="22"/>
      <c r="E806" s="22"/>
      <c r="F806" s="22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>
      <c r="A807" s="19"/>
      <c r="B807" s="23"/>
      <c r="C807" s="23"/>
      <c r="D807" s="22"/>
      <c r="E807" s="22"/>
      <c r="F807" s="22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>
      <c r="A808" s="19"/>
      <c r="B808" s="23"/>
      <c r="C808" s="23"/>
      <c r="D808" s="22"/>
      <c r="E808" s="22"/>
      <c r="F808" s="22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>
      <c r="A809" s="19"/>
      <c r="B809" s="23"/>
      <c r="C809" s="23"/>
      <c r="D809" s="22"/>
      <c r="E809" s="22"/>
      <c r="F809" s="22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>
      <c r="A810" s="19"/>
      <c r="B810" s="23"/>
      <c r="C810" s="23"/>
      <c r="D810" s="22"/>
      <c r="E810" s="22"/>
      <c r="F810" s="22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>
      <c r="A811" s="19"/>
      <c r="B811" s="23"/>
      <c r="C811" s="23"/>
      <c r="D811" s="22"/>
      <c r="E811" s="22"/>
      <c r="F811" s="22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>
      <c r="A812" s="19"/>
      <c r="B812" s="23"/>
      <c r="C812" s="23"/>
      <c r="D812" s="22"/>
      <c r="E812" s="22"/>
      <c r="F812" s="22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>
      <c r="A813" s="19"/>
      <c r="B813" s="23"/>
      <c r="C813" s="23"/>
      <c r="D813" s="22"/>
      <c r="E813" s="22"/>
      <c r="F813" s="22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>
      <c r="A814" s="19"/>
      <c r="B814" s="23"/>
      <c r="C814" s="23"/>
      <c r="D814" s="22"/>
      <c r="E814" s="22"/>
      <c r="F814" s="22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>
      <c r="A815" s="19"/>
      <c r="B815" s="23"/>
      <c r="C815" s="23"/>
      <c r="D815" s="22"/>
      <c r="E815" s="22"/>
      <c r="F815" s="22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>
      <c r="A816" s="19"/>
      <c r="B816" s="23"/>
      <c r="C816" s="23"/>
      <c r="D816" s="22"/>
      <c r="E816" s="22"/>
      <c r="F816" s="22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>
      <c r="A817" s="19"/>
      <c r="B817" s="23"/>
      <c r="C817" s="23"/>
      <c r="D817" s="22"/>
      <c r="E817" s="22"/>
      <c r="F817" s="22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>
      <c r="A818" s="19"/>
      <c r="B818" s="23"/>
      <c r="C818" s="23"/>
      <c r="D818" s="22"/>
      <c r="E818" s="22"/>
      <c r="F818" s="22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>
      <c r="A819" s="19"/>
      <c r="B819" s="23"/>
      <c r="C819" s="23"/>
      <c r="D819" s="22"/>
      <c r="E819" s="22"/>
      <c r="F819" s="22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>
      <c r="A820" s="19"/>
      <c r="B820" s="23"/>
      <c r="C820" s="23"/>
      <c r="D820" s="22"/>
      <c r="E820" s="22"/>
      <c r="F820" s="22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>
      <c r="A821" s="19"/>
      <c r="B821" s="23"/>
      <c r="C821" s="23"/>
      <c r="D821" s="22"/>
      <c r="E821" s="22"/>
      <c r="F821" s="22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>
      <c r="A822" s="19"/>
      <c r="B822" s="23"/>
      <c r="C822" s="23"/>
      <c r="D822" s="22"/>
      <c r="E822" s="22"/>
      <c r="F822" s="22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>
      <c r="A823" s="19"/>
      <c r="B823" s="23"/>
      <c r="C823" s="23"/>
      <c r="D823" s="22"/>
      <c r="E823" s="22"/>
      <c r="F823" s="22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>
      <c r="A824" s="19"/>
      <c r="B824" s="23"/>
      <c r="C824" s="23"/>
      <c r="D824" s="22"/>
      <c r="E824" s="22"/>
      <c r="F824" s="22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>
      <c r="A825" s="19"/>
      <c r="B825" s="23"/>
      <c r="C825" s="23"/>
      <c r="D825" s="22"/>
      <c r="E825" s="22"/>
      <c r="F825" s="22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>
      <c r="A826" s="19"/>
      <c r="B826" s="23"/>
      <c r="C826" s="23"/>
      <c r="D826" s="22"/>
      <c r="E826" s="22"/>
      <c r="F826" s="22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>
      <c r="A827" s="19"/>
      <c r="B827" s="23"/>
      <c r="C827" s="23"/>
      <c r="D827" s="22"/>
      <c r="E827" s="22"/>
      <c r="F827" s="22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>
      <c r="A828" s="19"/>
      <c r="B828" s="23"/>
      <c r="C828" s="23"/>
      <c r="D828" s="22"/>
      <c r="E828" s="22"/>
      <c r="F828" s="22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>
      <c r="A829" s="19"/>
      <c r="B829" s="23"/>
      <c r="C829" s="23"/>
      <c r="D829" s="22"/>
      <c r="E829" s="22"/>
      <c r="F829" s="22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>
      <c r="A830" s="19"/>
      <c r="B830" s="23"/>
      <c r="C830" s="23"/>
      <c r="D830" s="22"/>
      <c r="E830" s="22"/>
      <c r="F830" s="22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>
      <c r="A831" s="19"/>
      <c r="B831" s="23"/>
      <c r="C831" s="23"/>
      <c r="D831" s="22"/>
      <c r="E831" s="22"/>
      <c r="F831" s="22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>
      <c r="A832" s="19"/>
      <c r="B832" s="23"/>
      <c r="C832" s="23"/>
      <c r="D832" s="22"/>
      <c r="E832" s="22"/>
      <c r="F832" s="22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>
      <c r="A833" s="19"/>
      <c r="B833" s="23"/>
      <c r="C833" s="23"/>
      <c r="D833" s="22"/>
      <c r="E833" s="22"/>
      <c r="F833" s="22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>
      <c r="A834" s="19"/>
      <c r="B834" s="23"/>
      <c r="C834" s="23"/>
      <c r="D834" s="22"/>
      <c r="E834" s="22"/>
      <c r="F834" s="22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>
      <c r="A835" s="19"/>
      <c r="B835" s="23"/>
      <c r="C835" s="23"/>
      <c r="D835" s="22"/>
      <c r="E835" s="22"/>
      <c r="F835" s="22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>
      <c r="A836" s="19"/>
      <c r="B836" s="23"/>
      <c r="C836" s="23"/>
      <c r="D836" s="22"/>
      <c r="E836" s="22"/>
      <c r="F836" s="22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>
      <c r="A837" s="19"/>
      <c r="B837" s="23"/>
      <c r="C837" s="23"/>
      <c r="D837" s="22"/>
      <c r="E837" s="22"/>
      <c r="F837" s="22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>
      <c r="A838" s="19"/>
      <c r="B838" s="23"/>
      <c r="C838" s="23"/>
      <c r="D838" s="22"/>
      <c r="E838" s="22"/>
      <c r="F838" s="22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>
      <c r="A839" s="19"/>
      <c r="B839" s="23"/>
      <c r="C839" s="23"/>
      <c r="D839" s="22"/>
      <c r="E839" s="22"/>
      <c r="F839" s="22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>
      <c r="A840" s="19"/>
      <c r="B840" s="23"/>
      <c r="C840" s="23"/>
      <c r="D840" s="22"/>
      <c r="E840" s="22"/>
      <c r="F840" s="22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>
      <c r="A841" s="19"/>
      <c r="B841" s="23"/>
      <c r="C841" s="23"/>
      <c r="D841" s="22"/>
      <c r="E841" s="22"/>
      <c r="F841" s="22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>
      <c r="A842" s="19"/>
      <c r="B842" s="23"/>
      <c r="C842" s="23"/>
      <c r="D842" s="22"/>
      <c r="E842" s="22"/>
      <c r="F842" s="22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>
      <c r="A843" s="19"/>
      <c r="B843" s="23"/>
      <c r="C843" s="23"/>
      <c r="D843" s="22"/>
      <c r="E843" s="22"/>
      <c r="F843" s="22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>
      <c r="A844" s="19"/>
      <c r="B844" s="23"/>
      <c r="C844" s="23"/>
      <c r="D844" s="22"/>
      <c r="E844" s="22"/>
      <c r="F844" s="22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>
      <c r="A845" s="19"/>
      <c r="B845" s="23"/>
      <c r="C845" s="23"/>
      <c r="D845" s="22"/>
      <c r="E845" s="22"/>
      <c r="F845" s="22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>
      <c r="A846" s="19"/>
      <c r="B846" s="23"/>
      <c r="C846" s="23"/>
      <c r="D846" s="22"/>
      <c r="E846" s="22"/>
      <c r="F846" s="22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>
      <c r="A847" s="19"/>
      <c r="B847" s="23"/>
      <c r="C847" s="23"/>
      <c r="D847" s="22"/>
      <c r="E847" s="22"/>
      <c r="F847" s="22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>
      <c r="A848" s="19"/>
      <c r="B848" s="23"/>
      <c r="C848" s="23"/>
      <c r="D848" s="22"/>
      <c r="E848" s="22"/>
      <c r="F848" s="22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>
      <c r="A849" s="19"/>
      <c r="B849" s="23"/>
      <c r="C849" s="23"/>
      <c r="D849" s="22"/>
      <c r="E849" s="22"/>
      <c r="F849" s="22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>
      <c r="A850" s="19"/>
      <c r="B850" s="23"/>
      <c r="C850" s="23"/>
      <c r="D850" s="22"/>
      <c r="E850" s="22"/>
      <c r="F850" s="22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>
      <c r="A851" s="19"/>
      <c r="B851" s="23"/>
      <c r="C851" s="23"/>
      <c r="D851" s="22"/>
      <c r="E851" s="22"/>
      <c r="F851" s="22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>
      <c r="A852" s="19"/>
      <c r="B852" s="23"/>
      <c r="C852" s="23"/>
      <c r="D852" s="22"/>
      <c r="E852" s="22"/>
      <c r="F852" s="22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>
      <c r="A853" s="19"/>
      <c r="B853" s="23"/>
      <c r="C853" s="23"/>
      <c r="D853" s="22"/>
      <c r="E853" s="22"/>
      <c r="F853" s="22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>
      <c r="A854" s="19"/>
      <c r="B854" s="23"/>
      <c r="C854" s="23"/>
      <c r="D854" s="22"/>
      <c r="E854" s="22"/>
      <c r="F854" s="22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>
      <c r="A855" s="19"/>
      <c r="B855" s="23"/>
      <c r="C855" s="23"/>
      <c r="D855" s="22"/>
      <c r="E855" s="22"/>
      <c r="F855" s="22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>
      <c r="A856" s="19"/>
      <c r="B856" s="23"/>
      <c r="C856" s="23"/>
      <c r="D856" s="22"/>
      <c r="E856" s="22"/>
      <c r="F856" s="22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>
      <c r="A857" s="19"/>
      <c r="B857" s="23"/>
      <c r="C857" s="23"/>
      <c r="D857" s="22"/>
      <c r="E857" s="22"/>
      <c r="F857" s="22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>
      <c r="A858" s="19"/>
      <c r="B858" s="23"/>
      <c r="C858" s="23"/>
      <c r="D858" s="22"/>
      <c r="E858" s="22"/>
      <c r="F858" s="22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>
      <c r="A859" s="19"/>
      <c r="B859" s="23"/>
      <c r="C859" s="23"/>
      <c r="D859" s="22"/>
      <c r="E859" s="22"/>
      <c r="F859" s="22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>
      <c r="A860" s="19"/>
      <c r="B860" s="23"/>
      <c r="C860" s="23"/>
      <c r="D860" s="22"/>
      <c r="E860" s="22"/>
      <c r="F860" s="22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>
      <c r="A861" s="19"/>
      <c r="B861" s="23"/>
      <c r="C861" s="23"/>
      <c r="D861" s="22"/>
      <c r="E861" s="22"/>
      <c r="F861" s="22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>
      <c r="A862" s="19"/>
      <c r="B862" s="23"/>
      <c r="C862" s="23"/>
      <c r="D862" s="22"/>
      <c r="E862" s="22"/>
      <c r="F862" s="22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>
      <c r="A863" s="19"/>
      <c r="B863" s="23"/>
      <c r="C863" s="23"/>
      <c r="D863" s="22"/>
      <c r="E863" s="22"/>
      <c r="F863" s="22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>
      <c r="A864" s="19"/>
      <c r="B864" s="23"/>
      <c r="C864" s="23"/>
      <c r="D864" s="22"/>
      <c r="E864" s="22"/>
      <c r="F864" s="22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>
      <c r="A865" s="19"/>
      <c r="B865" s="23"/>
      <c r="C865" s="23"/>
      <c r="D865" s="22"/>
      <c r="E865" s="22"/>
      <c r="F865" s="22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>
      <c r="A866" s="19"/>
      <c r="B866" s="23"/>
      <c r="C866" s="23"/>
      <c r="D866" s="22"/>
      <c r="E866" s="22"/>
      <c r="F866" s="22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>
      <c r="A867" s="19"/>
      <c r="B867" s="23"/>
      <c r="C867" s="23"/>
      <c r="D867" s="22"/>
      <c r="E867" s="22"/>
      <c r="F867" s="22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>
      <c r="A868" s="19"/>
      <c r="B868" s="23"/>
      <c r="C868" s="23"/>
      <c r="D868" s="22"/>
      <c r="E868" s="22"/>
      <c r="F868" s="22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>
      <c r="A869" s="19"/>
      <c r="B869" s="23"/>
      <c r="C869" s="23"/>
      <c r="D869" s="22"/>
      <c r="E869" s="22"/>
      <c r="F869" s="22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>
      <c r="A870" s="19"/>
      <c r="B870" s="23"/>
      <c r="C870" s="23"/>
      <c r="D870" s="22"/>
      <c r="E870" s="22"/>
      <c r="F870" s="22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>
      <c r="A871" s="19"/>
      <c r="B871" s="23"/>
      <c r="C871" s="23"/>
      <c r="D871" s="22"/>
      <c r="E871" s="22"/>
      <c r="F871" s="22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>
      <c r="A872" s="19"/>
      <c r="B872" s="23"/>
      <c r="C872" s="23"/>
      <c r="D872" s="22"/>
      <c r="E872" s="22"/>
      <c r="F872" s="22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>
      <c r="A873" s="19"/>
      <c r="B873" s="23"/>
      <c r="C873" s="23"/>
      <c r="D873" s="22"/>
      <c r="E873" s="22"/>
      <c r="F873" s="22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>
      <c r="A874" s="19"/>
      <c r="B874" s="23"/>
      <c r="C874" s="23"/>
      <c r="D874" s="22"/>
      <c r="E874" s="22"/>
      <c r="F874" s="22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>
      <c r="A875" s="19"/>
      <c r="B875" s="23"/>
      <c r="C875" s="23"/>
      <c r="D875" s="22"/>
      <c r="E875" s="22"/>
      <c r="F875" s="22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>
      <c r="A876" s="19"/>
      <c r="B876" s="23"/>
      <c r="C876" s="23"/>
      <c r="D876" s="22"/>
      <c r="E876" s="22"/>
      <c r="F876" s="22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>
      <c r="A877" s="19"/>
      <c r="B877" s="23"/>
      <c r="C877" s="23"/>
      <c r="D877" s="22"/>
      <c r="E877" s="22"/>
      <c r="F877" s="22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>
      <c r="A878" s="19"/>
      <c r="B878" s="23"/>
      <c r="C878" s="23"/>
      <c r="D878" s="22"/>
      <c r="E878" s="22"/>
      <c r="F878" s="22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>
      <c r="A879" s="19"/>
      <c r="B879" s="23"/>
      <c r="C879" s="23"/>
      <c r="D879" s="22"/>
      <c r="E879" s="22"/>
      <c r="F879" s="22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>
      <c r="A880" s="19"/>
      <c r="B880" s="23"/>
      <c r="C880" s="23"/>
      <c r="D880" s="22"/>
      <c r="E880" s="22"/>
      <c r="F880" s="22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>
      <c r="A881" s="19"/>
      <c r="B881" s="23"/>
      <c r="C881" s="23"/>
      <c r="D881" s="22"/>
      <c r="E881" s="22"/>
      <c r="F881" s="22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>
      <c r="A882" s="19"/>
      <c r="B882" s="23"/>
      <c r="C882" s="23"/>
      <c r="D882" s="22"/>
      <c r="E882" s="22"/>
      <c r="F882" s="22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>
      <c r="A883" s="19"/>
      <c r="B883" s="23"/>
      <c r="C883" s="23"/>
      <c r="D883" s="22"/>
      <c r="E883" s="22"/>
      <c r="F883" s="22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>
      <c r="A884" s="19"/>
      <c r="B884" s="23"/>
      <c r="C884" s="23"/>
      <c r="D884" s="22"/>
      <c r="E884" s="22"/>
      <c r="F884" s="22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>
      <c r="A885" s="19"/>
      <c r="B885" s="23"/>
      <c r="C885" s="23"/>
      <c r="D885" s="22"/>
      <c r="E885" s="22"/>
      <c r="F885" s="22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>
      <c r="A886" s="19"/>
      <c r="B886" s="23"/>
      <c r="C886" s="23"/>
      <c r="D886" s="22"/>
      <c r="E886" s="22"/>
      <c r="F886" s="22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>
      <c r="A887" s="19"/>
      <c r="B887" s="23"/>
      <c r="C887" s="23"/>
      <c r="D887" s="22"/>
      <c r="E887" s="22"/>
      <c r="F887" s="22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>
      <c r="A888" s="19"/>
      <c r="B888" s="23"/>
      <c r="C888" s="23"/>
      <c r="D888" s="22"/>
      <c r="E888" s="22"/>
      <c r="F888" s="22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>
      <c r="A889" s="19"/>
      <c r="B889" s="23"/>
      <c r="C889" s="23"/>
      <c r="D889" s="22"/>
      <c r="E889" s="22"/>
      <c r="F889" s="22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>
      <c r="A890" s="19"/>
      <c r="B890" s="23"/>
      <c r="C890" s="23"/>
      <c r="D890" s="22"/>
      <c r="E890" s="22"/>
      <c r="F890" s="22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>
      <c r="A891" s="19"/>
      <c r="B891" s="23"/>
      <c r="C891" s="23"/>
      <c r="D891" s="22"/>
      <c r="E891" s="22"/>
      <c r="F891" s="22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>
      <c r="A892" s="19"/>
      <c r="B892" s="23"/>
      <c r="C892" s="23"/>
      <c r="D892" s="22"/>
      <c r="E892" s="22"/>
      <c r="F892" s="22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>
      <c r="A893" s="19"/>
      <c r="B893" s="23"/>
      <c r="C893" s="23"/>
      <c r="D893" s="22"/>
      <c r="E893" s="22"/>
      <c r="F893" s="22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>
      <c r="A894" s="19"/>
      <c r="B894" s="23"/>
      <c r="C894" s="23"/>
      <c r="D894" s="22"/>
      <c r="E894" s="22"/>
      <c r="F894" s="22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>
      <c r="A895" s="19"/>
      <c r="B895" s="23"/>
      <c r="C895" s="23"/>
      <c r="D895" s="22"/>
      <c r="E895" s="22"/>
      <c r="F895" s="22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>
      <c r="A896" s="19"/>
      <c r="B896" s="23"/>
      <c r="C896" s="23"/>
      <c r="D896" s="22"/>
      <c r="E896" s="22"/>
      <c r="F896" s="22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>
      <c r="A897" s="19"/>
      <c r="B897" s="23"/>
      <c r="C897" s="23"/>
      <c r="D897" s="22"/>
      <c r="E897" s="22"/>
      <c r="F897" s="22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>
      <c r="A898" s="19"/>
      <c r="B898" s="23"/>
      <c r="C898" s="23"/>
      <c r="D898" s="22"/>
      <c r="E898" s="22"/>
      <c r="F898" s="22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>
      <c r="A899" s="19"/>
      <c r="B899" s="23"/>
      <c r="C899" s="23"/>
      <c r="D899" s="22"/>
      <c r="E899" s="22"/>
      <c r="F899" s="22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>
      <c r="A900" s="19"/>
      <c r="B900" s="23"/>
      <c r="C900" s="23"/>
      <c r="D900" s="22"/>
      <c r="E900" s="22"/>
      <c r="F900" s="22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>
      <c r="A901" s="19"/>
      <c r="B901" s="23"/>
      <c r="C901" s="23"/>
      <c r="D901" s="22"/>
      <c r="E901" s="22"/>
      <c r="F901" s="22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>
      <c r="A902" s="19"/>
      <c r="B902" s="23"/>
      <c r="C902" s="23"/>
      <c r="D902" s="22"/>
      <c r="E902" s="22"/>
      <c r="F902" s="22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>
      <c r="A903" s="19"/>
      <c r="B903" s="23"/>
      <c r="C903" s="23"/>
      <c r="D903" s="22"/>
      <c r="E903" s="22"/>
      <c r="F903" s="22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>
      <c r="A904" s="19"/>
      <c r="B904" s="23"/>
      <c r="C904" s="23"/>
      <c r="D904" s="22"/>
      <c r="E904" s="22"/>
      <c r="F904" s="22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>
      <c r="A905" s="19"/>
      <c r="B905" s="23"/>
      <c r="C905" s="23"/>
      <c r="D905" s="22"/>
      <c r="E905" s="22"/>
      <c r="F905" s="22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>
      <c r="A906" s="19"/>
      <c r="B906" s="23"/>
      <c r="C906" s="23"/>
      <c r="D906" s="22"/>
      <c r="E906" s="22"/>
      <c r="F906" s="22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>
      <c r="A907" s="19"/>
      <c r="B907" s="23"/>
      <c r="C907" s="23"/>
      <c r="D907" s="22"/>
      <c r="E907" s="22"/>
      <c r="F907" s="22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>
      <c r="A908" s="19"/>
      <c r="B908" s="23"/>
      <c r="C908" s="23"/>
      <c r="D908" s="22"/>
      <c r="E908" s="22"/>
      <c r="F908" s="22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>
      <c r="A909" s="19"/>
      <c r="B909" s="23"/>
      <c r="C909" s="23"/>
      <c r="D909" s="22"/>
      <c r="E909" s="22"/>
      <c r="F909" s="22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>
      <c r="A910" s="19"/>
      <c r="B910" s="23"/>
      <c r="C910" s="23"/>
      <c r="D910" s="22"/>
      <c r="E910" s="22"/>
      <c r="F910" s="22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>
      <c r="A911" s="19"/>
      <c r="B911" s="23"/>
      <c r="C911" s="23"/>
      <c r="D911" s="22"/>
      <c r="E911" s="22"/>
      <c r="F911" s="22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>
      <c r="A912" s="19"/>
      <c r="B912" s="23"/>
      <c r="C912" s="23"/>
      <c r="D912" s="22"/>
      <c r="E912" s="22"/>
      <c r="F912" s="22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>
      <c r="A913" s="19"/>
      <c r="B913" s="23"/>
      <c r="C913" s="23"/>
      <c r="D913" s="22"/>
      <c r="E913" s="22"/>
      <c r="F913" s="22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>
      <c r="A914" s="19"/>
      <c r="B914" s="23"/>
      <c r="C914" s="23"/>
      <c r="D914" s="22"/>
      <c r="E914" s="22"/>
      <c r="F914" s="22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>
      <c r="A915" s="19"/>
      <c r="B915" s="23"/>
      <c r="C915" s="23"/>
      <c r="D915" s="22"/>
      <c r="E915" s="22"/>
      <c r="F915" s="22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>
      <c r="A916" s="19"/>
      <c r="B916" s="23"/>
      <c r="C916" s="23"/>
      <c r="D916" s="22"/>
      <c r="E916" s="22"/>
      <c r="F916" s="22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>
      <c r="A917" s="19"/>
      <c r="B917" s="23"/>
      <c r="C917" s="23"/>
      <c r="D917" s="22"/>
      <c r="E917" s="22"/>
      <c r="F917" s="22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>
      <c r="A918" s="19"/>
      <c r="B918" s="23"/>
      <c r="C918" s="23"/>
      <c r="D918" s="22"/>
      <c r="E918" s="22"/>
      <c r="F918" s="22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>
      <c r="A919" s="19"/>
      <c r="B919" s="23"/>
      <c r="C919" s="23"/>
      <c r="D919" s="22"/>
      <c r="E919" s="22"/>
      <c r="F919" s="22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>
      <c r="A920" s="19"/>
      <c r="B920" s="23"/>
      <c r="C920" s="23"/>
      <c r="D920" s="22"/>
      <c r="E920" s="22"/>
      <c r="F920" s="22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>
      <c r="A921" s="19"/>
      <c r="B921" s="23"/>
      <c r="C921" s="23"/>
      <c r="D921" s="22"/>
      <c r="E921" s="22"/>
      <c r="F921" s="22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>
      <c r="A922" s="19"/>
      <c r="B922" s="23"/>
      <c r="C922" s="23"/>
      <c r="D922" s="22"/>
      <c r="E922" s="22"/>
      <c r="F922" s="22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>
      <c r="A923" s="19"/>
      <c r="B923" s="23"/>
      <c r="C923" s="23"/>
      <c r="D923" s="22"/>
      <c r="E923" s="22"/>
      <c r="F923" s="22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>
      <c r="A924" s="19"/>
      <c r="B924" s="23"/>
      <c r="C924" s="23"/>
      <c r="D924" s="22"/>
      <c r="E924" s="22"/>
      <c r="F924" s="22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>
      <c r="A925" s="19"/>
      <c r="B925" s="23"/>
      <c r="C925" s="23"/>
      <c r="D925" s="22"/>
      <c r="E925" s="22"/>
      <c r="F925" s="22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>
      <c r="A926" s="19"/>
      <c r="B926" s="23"/>
      <c r="C926" s="23"/>
      <c r="D926" s="22"/>
      <c r="E926" s="22"/>
      <c r="F926" s="22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>
      <c r="A927" s="19"/>
      <c r="B927" s="23"/>
      <c r="C927" s="23"/>
      <c r="D927" s="22"/>
      <c r="E927" s="22"/>
      <c r="F927" s="22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>
      <c r="A928" s="19"/>
      <c r="B928" s="23"/>
      <c r="C928" s="23"/>
      <c r="D928" s="22"/>
      <c r="E928" s="22"/>
      <c r="F928" s="22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>
      <c r="A929" s="19"/>
      <c r="B929" s="23"/>
      <c r="C929" s="23"/>
      <c r="D929" s="22"/>
      <c r="E929" s="22"/>
      <c r="F929" s="22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>
      <c r="A930" s="19"/>
      <c r="B930" s="23"/>
      <c r="C930" s="23"/>
      <c r="D930" s="22"/>
      <c r="E930" s="22"/>
      <c r="F930" s="22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>
      <c r="A931" s="19"/>
      <c r="B931" s="23"/>
      <c r="C931" s="23"/>
      <c r="D931" s="22"/>
      <c r="E931" s="22"/>
      <c r="F931" s="22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>
      <c r="A932" s="19"/>
      <c r="B932" s="23"/>
      <c r="C932" s="23"/>
      <c r="D932" s="22"/>
      <c r="E932" s="22"/>
      <c r="F932" s="22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>
      <c r="A933" s="19"/>
      <c r="B933" s="23"/>
      <c r="C933" s="23"/>
      <c r="D933" s="22"/>
      <c r="E933" s="22"/>
      <c r="F933" s="22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>
      <c r="A934" s="19"/>
      <c r="B934" s="23"/>
      <c r="C934" s="23"/>
      <c r="D934" s="22"/>
      <c r="E934" s="22"/>
      <c r="F934" s="22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>
      <c r="A935" s="19"/>
      <c r="B935" s="23"/>
      <c r="C935" s="23"/>
      <c r="D935" s="22"/>
      <c r="E935" s="22"/>
      <c r="F935" s="22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>
      <c r="A936" s="19"/>
      <c r="B936" s="23"/>
      <c r="C936" s="23"/>
      <c r="D936" s="22"/>
      <c r="E936" s="22"/>
      <c r="F936" s="22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>
      <c r="A937" s="19"/>
      <c r="B937" s="23"/>
      <c r="C937" s="23"/>
      <c r="D937" s="22"/>
      <c r="E937" s="22"/>
      <c r="F937" s="22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>
      <c r="A938" s="19"/>
      <c r="B938" s="23"/>
      <c r="C938" s="23"/>
      <c r="D938" s="22"/>
      <c r="E938" s="22"/>
      <c r="F938" s="22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>
      <c r="A939" s="19"/>
      <c r="B939" s="23"/>
      <c r="C939" s="23"/>
      <c r="D939" s="22"/>
      <c r="E939" s="22"/>
      <c r="F939" s="22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>
      <c r="A940" s="19"/>
      <c r="B940" s="23"/>
      <c r="C940" s="23"/>
      <c r="D940" s="22"/>
      <c r="E940" s="22"/>
      <c r="F940" s="22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>
      <c r="A941" s="19"/>
      <c r="B941" s="23"/>
      <c r="C941" s="23"/>
      <c r="D941" s="22"/>
      <c r="E941" s="22"/>
      <c r="F941" s="22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>
      <c r="A942" s="19"/>
      <c r="B942" s="23"/>
      <c r="C942" s="23"/>
      <c r="D942" s="22"/>
      <c r="E942" s="22"/>
      <c r="F942" s="22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>
      <c r="A943" s="19"/>
      <c r="B943" s="23"/>
      <c r="C943" s="23"/>
      <c r="D943" s="22"/>
      <c r="E943" s="22"/>
      <c r="F943" s="22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>
      <c r="A944" s="19"/>
      <c r="B944" s="23"/>
      <c r="C944" s="23"/>
      <c r="D944" s="22"/>
      <c r="E944" s="22"/>
      <c r="F944" s="22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>
      <c r="A945" s="19"/>
      <c r="B945" s="23"/>
      <c r="C945" s="23"/>
      <c r="D945" s="22"/>
      <c r="E945" s="22"/>
      <c r="F945" s="22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>
      <c r="A946" s="19"/>
      <c r="B946" s="23"/>
      <c r="C946" s="23"/>
      <c r="D946" s="22"/>
      <c r="E946" s="22"/>
      <c r="F946" s="22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>
      <c r="A947" s="19"/>
      <c r="B947" s="23"/>
      <c r="C947" s="23"/>
      <c r="D947" s="22"/>
      <c r="E947" s="22"/>
      <c r="F947" s="22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>
      <c r="A948" s="19"/>
      <c r="B948" s="23"/>
      <c r="C948" s="23"/>
      <c r="D948" s="22"/>
      <c r="E948" s="22"/>
      <c r="F948" s="22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>
      <c r="A949" s="19"/>
      <c r="B949" s="23"/>
      <c r="C949" s="23"/>
      <c r="D949" s="22"/>
      <c r="E949" s="22"/>
      <c r="F949" s="22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>
      <c r="A950" s="19"/>
      <c r="B950" s="23"/>
      <c r="C950" s="23"/>
      <c r="D950" s="22"/>
      <c r="E950" s="22"/>
      <c r="F950" s="22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>
      <c r="A951" s="19"/>
      <c r="B951" s="23"/>
      <c r="C951" s="23"/>
      <c r="D951" s="22"/>
      <c r="E951" s="22"/>
      <c r="F951" s="22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>
      <c r="A952" s="19"/>
      <c r="B952" s="23"/>
      <c r="C952" s="23"/>
      <c r="D952" s="22"/>
      <c r="E952" s="22"/>
      <c r="F952" s="22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>
      <c r="A953" s="19"/>
      <c r="B953" s="23"/>
      <c r="C953" s="23"/>
      <c r="D953" s="22"/>
      <c r="E953" s="22"/>
      <c r="F953" s="22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>
      <c r="A954" s="19"/>
      <c r="B954" s="23"/>
      <c r="C954" s="23"/>
      <c r="D954" s="22"/>
      <c r="E954" s="22"/>
      <c r="F954" s="22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>
      <c r="A955" s="19"/>
      <c r="B955" s="23"/>
      <c r="C955" s="23"/>
      <c r="D955" s="22"/>
      <c r="E955" s="22"/>
      <c r="F955" s="22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>
      <c r="A956" s="19"/>
      <c r="B956" s="23"/>
      <c r="C956" s="23"/>
      <c r="D956" s="22"/>
      <c r="E956" s="22"/>
      <c r="F956" s="22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>
      <c r="A957" s="19"/>
      <c r="B957" s="23"/>
      <c r="C957" s="23"/>
      <c r="D957" s="22"/>
      <c r="E957" s="22"/>
      <c r="F957" s="22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>
      <c r="A958" s="19"/>
      <c r="B958" s="23"/>
      <c r="C958" s="23"/>
      <c r="D958" s="22"/>
      <c r="E958" s="22"/>
      <c r="F958" s="22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>
      <c r="A959" s="19"/>
      <c r="B959" s="23"/>
      <c r="C959" s="23"/>
      <c r="D959" s="22"/>
      <c r="E959" s="22"/>
      <c r="F959" s="22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>
      <c r="A960" s="19"/>
      <c r="B960" s="23"/>
      <c r="C960" s="23"/>
      <c r="D960" s="22"/>
      <c r="E960" s="22"/>
      <c r="F960" s="22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>
      <c r="A961" s="19"/>
      <c r="B961" s="23"/>
      <c r="C961" s="23"/>
      <c r="D961" s="22"/>
      <c r="E961" s="22"/>
      <c r="F961" s="22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>
      <c r="A962" s="19"/>
      <c r="B962" s="23"/>
      <c r="C962" s="23"/>
      <c r="D962" s="22"/>
      <c r="E962" s="22"/>
      <c r="F962" s="22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>
      <c r="A963" s="19"/>
      <c r="B963" s="23"/>
      <c r="C963" s="23"/>
      <c r="D963" s="22"/>
      <c r="E963" s="22"/>
      <c r="F963" s="22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>
      <c r="A964" s="19"/>
      <c r="B964" s="23"/>
      <c r="C964" s="23"/>
      <c r="D964" s="22"/>
      <c r="E964" s="22"/>
      <c r="F964" s="22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>
      <c r="A965" s="19"/>
      <c r="B965" s="23"/>
      <c r="C965" s="23"/>
      <c r="D965" s="22"/>
      <c r="E965" s="22"/>
      <c r="F965" s="22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>
      <c r="A966" s="19"/>
      <c r="B966" s="23"/>
      <c r="C966" s="23"/>
      <c r="D966" s="22"/>
      <c r="E966" s="22"/>
      <c r="F966" s="22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>
      <c r="A967" s="19"/>
      <c r="B967" s="23"/>
      <c r="C967" s="23"/>
      <c r="D967" s="22"/>
      <c r="E967" s="22"/>
      <c r="F967" s="22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>
      <c r="A968" s="19"/>
      <c r="B968" s="23"/>
      <c r="C968" s="23"/>
      <c r="D968" s="22"/>
      <c r="E968" s="22"/>
      <c r="F968" s="22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>
      <c r="A969" s="19"/>
      <c r="B969" s="23"/>
      <c r="C969" s="23"/>
      <c r="D969" s="22"/>
      <c r="E969" s="22"/>
      <c r="F969" s="22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>
      <c r="A970" s="19"/>
      <c r="B970" s="23"/>
      <c r="C970" s="23"/>
      <c r="D970" s="22"/>
      <c r="E970" s="22"/>
      <c r="F970" s="22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>
      <c r="A971" s="19"/>
      <c r="B971" s="23"/>
      <c r="C971" s="23"/>
      <c r="D971" s="22"/>
      <c r="E971" s="22"/>
      <c r="F971" s="22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>
      <c r="A972" s="19"/>
      <c r="B972" s="23"/>
      <c r="C972" s="23"/>
      <c r="D972" s="22"/>
      <c r="E972" s="22"/>
      <c r="F972" s="22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>
      <c r="A973" s="19"/>
      <c r="B973" s="23"/>
      <c r="C973" s="23"/>
      <c r="D973" s="22"/>
      <c r="E973" s="22"/>
      <c r="F973" s="22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>
      <c r="A974" s="19"/>
      <c r="B974" s="23"/>
      <c r="C974" s="23"/>
      <c r="D974" s="22"/>
      <c r="E974" s="22"/>
      <c r="F974" s="22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>
      <c r="A975" s="19"/>
      <c r="B975" s="23"/>
      <c r="C975" s="23"/>
      <c r="D975" s="22"/>
      <c r="E975" s="22"/>
      <c r="F975" s="22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>
      <c r="A976" s="19"/>
      <c r="B976" s="23"/>
      <c r="C976" s="23"/>
      <c r="D976" s="22"/>
      <c r="E976" s="22"/>
      <c r="F976" s="22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>
      <c r="A977" s="19"/>
      <c r="B977" s="23"/>
      <c r="C977" s="23"/>
      <c r="D977" s="22"/>
      <c r="E977" s="22"/>
      <c r="F977" s="22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>
      <c r="A978" s="19"/>
      <c r="B978" s="23"/>
      <c r="C978" s="23"/>
      <c r="D978" s="22"/>
      <c r="E978" s="22"/>
      <c r="F978" s="22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>
      <c r="A979" s="19"/>
      <c r="B979" s="23"/>
      <c r="C979" s="23"/>
      <c r="D979" s="22"/>
      <c r="E979" s="22"/>
      <c r="F979" s="22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>
      <c r="A980" s="19"/>
      <c r="B980" s="23"/>
      <c r="C980" s="23"/>
      <c r="D980" s="22"/>
      <c r="E980" s="22"/>
      <c r="F980" s="22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>
      <c r="A981" s="19"/>
      <c r="B981" s="23"/>
      <c r="C981" s="23"/>
      <c r="D981" s="22"/>
      <c r="E981" s="22"/>
      <c r="F981" s="22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>
      <c r="A982" s="19"/>
      <c r="B982" s="23"/>
      <c r="C982" s="23"/>
      <c r="D982" s="22"/>
      <c r="E982" s="22"/>
      <c r="F982" s="22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>
      <c r="A983" s="19"/>
      <c r="B983" s="23"/>
      <c r="C983" s="23"/>
      <c r="D983" s="22"/>
      <c r="E983" s="22"/>
      <c r="F983" s="22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>
      <c r="A984" s="19"/>
      <c r="B984" s="23"/>
      <c r="C984" s="23"/>
      <c r="D984" s="22"/>
      <c r="E984" s="22"/>
      <c r="F984" s="22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>
      <c r="A985" s="19"/>
      <c r="B985" s="23"/>
      <c r="C985" s="23"/>
      <c r="D985" s="22"/>
      <c r="E985" s="22"/>
      <c r="F985" s="22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>
      <c r="A986" s="19"/>
      <c r="B986" s="23"/>
      <c r="C986" s="23"/>
      <c r="D986" s="22"/>
      <c r="E986" s="22"/>
      <c r="F986" s="22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>
      <c r="A987" s="19"/>
      <c r="B987" s="23"/>
      <c r="C987" s="23"/>
      <c r="D987" s="22"/>
      <c r="E987" s="22"/>
      <c r="F987" s="22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>
      <c r="A988" s="19"/>
      <c r="B988" s="23"/>
      <c r="C988" s="23"/>
      <c r="D988" s="22"/>
      <c r="E988" s="22"/>
      <c r="F988" s="22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>
      <c r="A989" s="19"/>
      <c r="B989" s="23"/>
      <c r="C989" s="23"/>
      <c r="D989" s="22"/>
      <c r="E989" s="22"/>
      <c r="F989" s="22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>
      <c r="A990" s="19"/>
      <c r="B990" s="23"/>
      <c r="C990" s="23"/>
      <c r="D990" s="22"/>
      <c r="E990" s="22"/>
      <c r="F990" s="22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>
      <c r="A991" s="19"/>
      <c r="B991" s="23"/>
      <c r="C991" s="23"/>
      <c r="D991" s="22"/>
      <c r="E991" s="22"/>
      <c r="F991" s="22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>
      <c r="A992" s="19"/>
      <c r="B992" s="23"/>
      <c r="C992" s="23"/>
      <c r="D992" s="22"/>
      <c r="E992" s="22"/>
      <c r="F992" s="22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>
      <c r="A993" s="19"/>
      <c r="B993" s="23"/>
      <c r="C993" s="23"/>
      <c r="D993" s="22"/>
      <c r="E993" s="22"/>
      <c r="F993" s="22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>
      <c r="A994" s="19"/>
      <c r="B994" s="23"/>
      <c r="C994" s="23"/>
      <c r="D994" s="22"/>
      <c r="E994" s="22"/>
      <c r="F994" s="22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>
      <c r="A995" s="19"/>
      <c r="B995" s="23"/>
      <c r="C995" s="23"/>
      <c r="D995" s="22"/>
      <c r="E995" s="22"/>
      <c r="F995" s="22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>
      <c r="A996" s="19"/>
      <c r="B996" s="23"/>
      <c r="C996" s="23"/>
      <c r="D996" s="22"/>
      <c r="E996" s="22"/>
      <c r="F996" s="22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>
      <c r="A997" s="19"/>
      <c r="B997" s="23"/>
      <c r="C997" s="23"/>
      <c r="D997" s="22"/>
      <c r="E997" s="22"/>
      <c r="F997" s="22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>
      <c r="A998" s="19"/>
      <c r="B998" s="23"/>
      <c r="C998" s="23"/>
      <c r="D998" s="22"/>
      <c r="E998" s="22"/>
      <c r="F998" s="22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>
      <c r="A999" s="19"/>
      <c r="B999" s="23"/>
      <c r="C999" s="23"/>
      <c r="D999" s="22"/>
      <c r="E999" s="22"/>
      <c r="F999" s="22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>
      <c r="A1000" s="19"/>
      <c r="B1000" s="23"/>
      <c r="C1000" s="23"/>
      <c r="D1000" s="22"/>
      <c r="E1000" s="22"/>
      <c r="F1000" s="22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>
      <c r="A1001" s="19"/>
      <c r="B1001" s="23"/>
      <c r="C1001" s="23"/>
      <c r="D1001" s="22"/>
      <c r="E1001" s="22"/>
      <c r="F1001" s="22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>
      <c r="A1002" s="19"/>
      <c r="B1002" s="23"/>
      <c r="C1002" s="23"/>
      <c r="D1002" s="22"/>
      <c r="E1002" s="22"/>
      <c r="F1002" s="22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>
      <c r="A1003" s="19"/>
      <c r="B1003" s="23"/>
      <c r="C1003" s="23"/>
      <c r="D1003" s="22"/>
      <c r="E1003" s="22"/>
      <c r="F1003" s="22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>
      <c r="A1004" s="19"/>
      <c r="B1004" s="23"/>
      <c r="C1004" s="23"/>
      <c r="D1004" s="22"/>
      <c r="E1004" s="22"/>
      <c r="F1004" s="22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  <row r="1005">
      <c r="A1005" s="19"/>
      <c r="B1005" s="23"/>
      <c r="C1005" s="23"/>
      <c r="D1005" s="22"/>
      <c r="E1005" s="22"/>
      <c r="F1005" s="22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</row>
    <row r="1006">
      <c r="A1006" s="19"/>
      <c r="B1006" s="23"/>
      <c r="C1006" s="23"/>
      <c r="D1006" s="22"/>
      <c r="E1006" s="22"/>
      <c r="F1006" s="22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</row>
    <row r="1007">
      <c r="A1007" s="19"/>
      <c r="B1007" s="23"/>
      <c r="C1007" s="23"/>
      <c r="D1007" s="22"/>
      <c r="E1007" s="22"/>
      <c r="F1007" s="22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</row>
    <row r="1008">
      <c r="A1008" s="19"/>
      <c r="B1008" s="23"/>
      <c r="C1008" s="23"/>
      <c r="D1008" s="22"/>
      <c r="E1008" s="22"/>
      <c r="F1008" s="22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</row>
    <row r="1009">
      <c r="A1009" s="19"/>
      <c r="B1009" s="23"/>
      <c r="C1009" s="23"/>
      <c r="D1009" s="22"/>
      <c r="E1009" s="22"/>
      <c r="F1009" s="22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</row>
    <row r="1010">
      <c r="A1010" s="19"/>
      <c r="B1010" s="23"/>
      <c r="C1010" s="23"/>
      <c r="D1010" s="22"/>
      <c r="E1010" s="22"/>
      <c r="F1010" s="22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</row>
    <row r="1011">
      <c r="A1011" s="19"/>
      <c r="B1011" s="23"/>
      <c r="C1011" s="23"/>
      <c r="D1011" s="22"/>
      <c r="E1011" s="22"/>
      <c r="F1011" s="22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</row>
    <row r="1012">
      <c r="A1012" s="19"/>
      <c r="B1012" s="23"/>
      <c r="C1012" s="23"/>
      <c r="D1012" s="22"/>
      <c r="E1012" s="22"/>
      <c r="F1012" s="22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</row>
    <row r="1013">
      <c r="A1013" s="19"/>
      <c r="B1013" s="23"/>
      <c r="C1013" s="23"/>
      <c r="D1013" s="22"/>
      <c r="E1013" s="22"/>
      <c r="F1013" s="22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</row>
    <row r="1014">
      <c r="A1014" s="19"/>
      <c r="B1014" s="23"/>
      <c r="C1014" s="23"/>
      <c r="D1014" s="22"/>
      <c r="E1014" s="22"/>
      <c r="F1014" s="22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</row>
    <row r="1015">
      <c r="A1015" s="19"/>
      <c r="B1015" s="23"/>
      <c r="C1015" s="23"/>
      <c r="D1015" s="22"/>
      <c r="E1015" s="22"/>
      <c r="F1015" s="22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</row>
    <row r="1016">
      <c r="A1016" s="19"/>
      <c r="B1016" s="23"/>
      <c r="C1016" s="23"/>
      <c r="D1016" s="22"/>
      <c r="E1016" s="22"/>
      <c r="F1016" s="22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</row>
    <row r="1017">
      <c r="A1017" s="19"/>
      <c r="B1017" s="23"/>
      <c r="C1017" s="23"/>
      <c r="D1017" s="22"/>
      <c r="E1017" s="22"/>
      <c r="F1017" s="22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</row>
    <row r="1018">
      <c r="A1018" s="19"/>
      <c r="B1018" s="23"/>
      <c r="C1018" s="23"/>
      <c r="D1018" s="22"/>
      <c r="E1018" s="22"/>
      <c r="F1018" s="22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</row>
    <row r="1019">
      <c r="A1019" s="19"/>
      <c r="B1019" s="23"/>
      <c r="C1019" s="23"/>
      <c r="D1019" s="22"/>
      <c r="E1019" s="22"/>
      <c r="F1019" s="22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</row>
    <row r="1020">
      <c r="A1020" s="19"/>
      <c r="B1020" s="23"/>
      <c r="C1020" s="23"/>
      <c r="D1020" s="22"/>
      <c r="E1020" s="22"/>
      <c r="F1020" s="22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</row>
    <row r="1021">
      <c r="A1021" s="19"/>
      <c r="B1021" s="23"/>
      <c r="C1021" s="23"/>
      <c r="D1021" s="22"/>
      <c r="E1021" s="22"/>
      <c r="F1021" s="22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</row>
    <row r="1022">
      <c r="A1022" s="19"/>
      <c r="B1022" s="23"/>
      <c r="C1022" s="23"/>
      <c r="D1022" s="22"/>
      <c r="E1022" s="22"/>
      <c r="F1022" s="22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</row>
    <row r="1023">
      <c r="A1023" s="19"/>
      <c r="B1023" s="23"/>
      <c r="C1023" s="23"/>
      <c r="D1023" s="22"/>
      <c r="E1023" s="22"/>
      <c r="F1023" s="22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</row>
    <row r="1024">
      <c r="A1024" s="19"/>
      <c r="B1024" s="23"/>
      <c r="C1024" s="23"/>
      <c r="D1024" s="22"/>
      <c r="E1024" s="22"/>
      <c r="F1024" s="22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</row>
    <row r="1025">
      <c r="A1025" s="19"/>
      <c r="B1025" s="23"/>
      <c r="C1025" s="23"/>
      <c r="D1025" s="22"/>
      <c r="E1025" s="22"/>
      <c r="F1025" s="22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</row>
    <row r="1026">
      <c r="A1026" s="19"/>
      <c r="B1026" s="23"/>
      <c r="C1026" s="23"/>
      <c r="D1026" s="22"/>
      <c r="E1026" s="22"/>
      <c r="F1026" s="22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</row>
    <row r="1027">
      <c r="A1027" s="19"/>
      <c r="B1027" s="23"/>
      <c r="C1027" s="23"/>
      <c r="D1027" s="22"/>
      <c r="E1027" s="22"/>
      <c r="F1027" s="22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</row>
    <row r="1028">
      <c r="A1028" s="19"/>
      <c r="B1028" s="23"/>
      <c r="C1028" s="23"/>
      <c r="D1028" s="22"/>
      <c r="E1028" s="22"/>
      <c r="F1028" s="22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</row>
    <row r="1029">
      <c r="A1029" s="19"/>
      <c r="B1029" s="23"/>
      <c r="C1029" s="23"/>
      <c r="D1029" s="22"/>
      <c r="E1029" s="22"/>
      <c r="F1029" s="22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</row>
    <row r="1030">
      <c r="A1030" s="19"/>
      <c r="B1030" s="23"/>
      <c r="C1030" s="23"/>
      <c r="D1030" s="22"/>
      <c r="E1030" s="22"/>
      <c r="F1030" s="22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</row>
    <row r="1031">
      <c r="A1031" s="19"/>
      <c r="B1031" s="23"/>
      <c r="C1031" s="23"/>
      <c r="D1031" s="22"/>
      <c r="E1031" s="22"/>
      <c r="F1031" s="22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</row>
    <row r="1032">
      <c r="A1032" s="19"/>
      <c r="B1032" s="23"/>
      <c r="C1032" s="23"/>
      <c r="D1032" s="22"/>
      <c r="E1032" s="22"/>
      <c r="F1032" s="22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</row>
    <row r="1033">
      <c r="A1033" s="19"/>
      <c r="B1033" s="23"/>
      <c r="C1033" s="23"/>
      <c r="D1033" s="22"/>
      <c r="E1033" s="22"/>
      <c r="F1033" s="22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</row>
    <row r="1034">
      <c r="A1034" s="19"/>
      <c r="B1034" s="23"/>
      <c r="C1034" s="23"/>
      <c r="D1034" s="22"/>
      <c r="E1034" s="22"/>
      <c r="F1034" s="22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</row>
    <row r="1035">
      <c r="A1035" s="19"/>
      <c r="B1035" s="23"/>
      <c r="C1035" s="23"/>
      <c r="D1035" s="22"/>
      <c r="E1035" s="22"/>
      <c r="F1035" s="22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</row>
    <row r="1036">
      <c r="A1036" s="19"/>
      <c r="B1036" s="23"/>
      <c r="C1036" s="23"/>
      <c r="D1036" s="22"/>
      <c r="E1036" s="22"/>
      <c r="F1036" s="22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</row>
    <row r="1037">
      <c r="A1037" s="19"/>
      <c r="B1037" s="23"/>
      <c r="C1037" s="23"/>
      <c r="D1037" s="22"/>
      <c r="E1037" s="22"/>
      <c r="F1037" s="22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</row>
    <row r="1038">
      <c r="A1038" s="19"/>
      <c r="B1038" s="23"/>
      <c r="C1038" s="23"/>
      <c r="D1038" s="22"/>
      <c r="E1038" s="22"/>
      <c r="F1038" s="22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</row>
    <row r="1039">
      <c r="A1039" s="19"/>
      <c r="B1039" s="23"/>
      <c r="C1039" s="23"/>
      <c r="D1039" s="22"/>
      <c r="E1039" s="22"/>
      <c r="F1039" s="22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</row>
    <row r="1040">
      <c r="A1040" s="19"/>
      <c r="B1040" s="23"/>
      <c r="C1040" s="23"/>
      <c r="D1040" s="22"/>
      <c r="E1040" s="22"/>
      <c r="F1040" s="22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</row>
    <row r="1041">
      <c r="A1041" s="19"/>
      <c r="B1041" s="23"/>
      <c r="C1041" s="23"/>
      <c r="D1041" s="22"/>
      <c r="E1041" s="22"/>
      <c r="F1041" s="22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</row>
    <row r="1042">
      <c r="A1042" s="19"/>
      <c r="B1042" s="23"/>
      <c r="C1042" s="23"/>
      <c r="D1042" s="22"/>
      <c r="E1042" s="22"/>
      <c r="F1042" s="22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</row>
  </sheetData>
  <autoFilter ref="$A$2:$B$1042"/>
  <dataValidations>
    <dataValidation type="list" allowBlank="1" showErrorMessage="1" sqref="B284">
      <formula1>'DATA BANTU'!Y262:AZ262</formula1>
    </dataValidation>
    <dataValidation type="list" allowBlank="1" showErrorMessage="1" sqref="B69:B82">
      <formula1>'DATA BANTU'!Y62:AZ62</formula1>
    </dataValidation>
    <dataValidation type="list" allowBlank="1" showErrorMessage="1" sqref="B390:B393">
      <formula1>'DATA BANTU'!Y362:AZ362</formula1>
    </dataValidation>
    <dataValidation type="list" allowBlank="1" showErrorMessage="1" sqref="B233:B241">
      <formula1>'DATA BANTU'!Y215:AZ215</formula1>
    </dataValidation>
    <dataValidation type="list" allowBlank="1" showErrorMessage="1" sqref="A3:A1042">
      <formula1>'KODE+STANDAR PORSI'!$B$3:$B$1014</formula1>
    </dataValidation>
    <dataValidation type="list" allowBlank="1" showErrorMessage="1" sqref="B200:B210">
      <formula1>'DATA BANTU'!Y184:AZ184</formula1>
    </dataValidation>
    <dataValidation type="list" allowBlank="1" showErrorMessage="1" sqref="B93:B104">
      <formula1>'DATA BANTU'!Y84:AZ84</formula1>
    </dataValidation>
    <dataValidation type="list" allowBlank="1" showErrorMessage="1" sqref="B36:B42">
      <formula1>'DATA BANTU'!Y34:AZ34</formula1>
    </dataValidation>
    <dataValidation type="list" allowBlank="1" showErrorMessage="1" sqref="B244:B250">
      <formula1>'DATA BANTU'!Y224:AZ224</formula1>
    </dataValidation>
    <dataValidation type="list" allowBlank="1" showErrorMessage="1" sqref="B271:B283">
      <formula1>'DATA BANTU'!Y249:AZ249</formula1>
    </dataValidation>
    <dataValidation type="list" allowBlank="1" showErrorMessage="1" sqref="B326 B335">
      <formula1>'DATA BANTU'!Y301:AZ301</formula1>
    </dataValidation>
    <dataValidation type="list" allowBlank="1" showErrorMessage="1" sqref="B242:B243">
      <formula1>'DATA BANTU'!Y223:AZ223</formula1>
    </dataValidation>
    <dataValidation type="list" allowBlank="1" showErrorMessage="1" sqref="B344:B354">
      <formula1>'DATA BANTU'!Y320:AZ320</formula1>
    </dataValidation>
    <dataValidation type="list" allowBlank="1" showErrorMessage="1" sqref="B453:B1042">
      <formula1>'DATA BANTU'!Y425:AZ425</formula1>
    </dataValidation>
    <dataValidation type="list" allowBlank="1" showErrorMessage="1" sqref="B105:B116">
      <formula1>'DATA BANTU'!Y95:AZ95</formula1>
    </dataValidation>
    <dataValidation type="list" allowBlank="1" showErrorMessage="1" sqref="B187:B199">
      <formula1>'DATA BANTU'!Y172:AZ172</formula1>
    </dataValidation>
    <dataValidation type="list" allowBlank="1" showErrorMessage="1" sqref="B357:B367">
      <formula1>'DATA BANTU'!Y331:AZ331</formula1>
    </dataValidation>
    <dataValidation type="list" allowBlank="1" showErrorMessage="1" sqref="B52:B60">
      <formula1>'DATA BANTU'!Y46:AZ46</formula1>
    </dataValidation>
    <dataValidation type="list" allowBlank="1" showErrorMessage="1" sqref="B306:B325 B327:B334 B336:B343">
      <formula1>'DATA BANTU'!Y282:AZ282</formula1>
    </dataValidation>
    <dataValidation type="list" allowBlank="1" showErrorMessage="1" sqref="B251:B257">
      <formula1>'DATA BANTU'!Y230:AZ230</formula1>
    </dataValidation>
    <dataValidation type="list" allowBlank="1" showErrorMessage="1" sqref="B26:B35">
      <formula1>'DATA BANTU'!Y25:AZ25</formula1>
    </dataValidation>
    <dataValidation type="list" allowBlank="1" showErrorMessage="1" sqref="B117:B130">
      <formula1>'DATA BANTU'!Y106:AZ106</formula1>
    </dataValidation>
    <dataValidation type="list" allowBlank="1" showErrorMessage="1" sqref="B43:B51">
      <formula1>'DATA BANTU'!Y40:AZ40</formula1>
    </dataValidation>
    <dataValidation type="list" allowBlank="1" showErrorMessage="1" sqref="B131:B144">
      <formula1>'DATA BANTU'!Y119:AZ119</formula1>
    </dataValidation>
    <dataValidation type="list" allowBlank="1" showErrorMessage="1" sqref="B355:B356">
      <formula1>'DATA BANTU'!Y330:AZ330</formula1>
    </dataValidation>
    <dataValidation type="list" allowBlank="1" showErrorMessage="1" sqref="B172:B186">
      <formula1>'DATA BANTU'!Y158:AZ158</formula1>
    </dataValidation>
    <dataValidation type="list" allowBlank="1" showErrorMessage="1" sqref="B298:B305">
      <formula1>'DATA BANTU'!Y274:AZ274</formula1>
    </dataValidation>
    <dataValidation type="list" allowBlank="1" showErrorMessage="1" sqref="B221:B232">
      <formula1>'DATA BANTU'!Y204:AZ204</formula1>
    </dataValidation>
    <dataValidation type="list" allowBlank="1" showErrorMessage="1" sqref="B385:B389">
      <formula1>'DATA BANTU'!Y357:AZ357</formula1>
    </dataValidation>
    <dataValidation type="list" allowBlank="1" showErrorMessage="1" sqref="B83:B92">
      <formula1>'DATA BANTU'!Y75:AZ75</formula1>
    </dataValidation>
    <dataValidation type="list" allowBlank="1" showErrorMessage="1" sqref="B211:B220">
      <formula1>'DATA BANTU'!Y194:AZ194</formula1>
    </dataValidation>
    <dataValidation type="list" allowBlank="1" showErrorMessage="1" sqref="B258:B270">
      <formula1>'DATA BANTU'!Y237:AZ237</formula1>
    </dataValidation>
    <dataValidation type="list" allowBlank="1" showErrorMessage="1" sqref="B3:B25">
      <formula1>'DATA BANTU'!Y3:AZ3</formula1>
    </dataValidation>
    <dataValidation type="list" allowBlank="1" showErrorMessage="1" sqref="B394:B452">
      <formula1>'DATA BANTU'!Y366:AZ366</formula1>
    </dataValidation>
    <dataValidation type="list" allowBlank="1" showErrorMessage="1" sqref="B285:B297">
      <formula1>'DATA BANTU'!Y262:AZ262</formula1>
    </dataValidation>
    <dataValidation type="list" allowBlank="1" showErrorMessage="1" sqref="B158:B171">
      <formula1>'DATA BANTU'!Y145:AZ145</formula1>
    </dataValidation>
    <dataValidation type="list" allowBlank="1" showErrorMessage="1" sqref="B145:B157">
      <formula1>'DATA BANTU'!Y133:AZ133</formula1>
    </dataValidation>
    <dataValidation type="list" allowBlank="1" showErrorMessage="1" sqref="B368:B380">
      <formula1>'DATA BANTU'!Y342:AZ342</formula1>
    </dataValidation>
    <dataValidation type="list" allowBlank="1" showErrorMessage="1" sqref="B61:B68">
      <formula1>'DATA BANTU'!Y54:AZ54</formula1>
    </dataValidation>
    <dataValidation type="list" allowBlank="1" showErrorMessage="1" sqref="B381:B384">
      <formula1>'DATA BANTU'!Y354:AZ354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3" width="35.75"/>
    <col customWidth="1" min="4" max="4" width="35.75"/>
    <col customWidth="1" min="10" max="11" width="35.63"/>
    <col customWidth="1" min="12" max="12" width="32.63"/>
  </cols>
  <sheetData>
    <row r="1">
      <c r="A1" s="24"/>
      <c r="B1" s="24"/>
      <c r="C1" s="24"/>
      <c r="D1" s="24" t="s">
        <v>211</v>
      </c>
      <c r="E1" s="25"/>
      <c r="F1" s="26"/>
      <c r="G1" s="27"/>
      <c r="H1" s="17"/>
      <c r="I1" s="17"/>
      <c r="J1" s="24" t="s">
        <v>212</v>
      </c>
      <c r="K1" s="24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28" t="s">
        <v>213</v>
      </c>
      <c r="B2" s="28" t="s">
        <v>214</v>
      </c>
      <c r="C2" s="28" t="s">
        <v>215</v>
      </c>
      <c r="D2" s="29" t="s">
        <v>216</v>
      </c>
      <c r="E2" s="30" t="s">
        <v>217</v>
      </c>
      <c r="F2" s="31" t="s">
        <v>218</v>
      </c>
      <c r="G2" s="29" t="s">
        <v>120</v>
      </c>
      <c r="H2" s="29" t="s">
        <v>219</v>
      </c>
      <c r="I2" s="17"/>
      <c r="J2" s="32" t="s">
        <v>220</v>
      </c>
      <c r="K2" s="32" t="s">
        <v>221</v>
      </c>
      <c r="L2" s="32" t="s">
        <v>222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>
      <c r="A3" s="17" t="str">
        <f t="array" ref="A3:A34">UNIQUE('KODE+STANDAR PORSI'!D3:D1014)</f>
        <v>Nasi Premium</v>
      </c>
      <c r="B3" s="17" t="str">
        <f t="array" ref="B3:B84">SORT(UNIQUE('STANDAR RESEP'!C4:C1042))</f>
        <v>Asam Jawa</v>
      </c>
      <c r="C3" s="17" t="str">
        <f t="array" ref="C3:C99">SORT(UNIQUE({TOCOL(A3:A1002, 1); TOCOL(B3:B1002, 1)}))</f>
        <v>Asam Jawa</v>
      </c>
      <c r="D3" s="23" t="s">
        <v>200</v>
      </c>
      <c r="E3" s="33">
        <v>1.0</v>
      </c>
      <c r="F3" s="34">
        <v>27000.0</v>
      </c>
      <c r="G3" s="20" t="s">
        <v>223</v>
      </c>
      <c r="H3" s="19">
        <v>1000.0</v>
      </c>
      <c r="I3" s="17"/>
      <c r="J3" s="23" t="s">
        <v>12</v>
      </c>
      <c r="K3" s="23" t="s">
        <v>196</v>
      </c>
      <c r="L3" s="23" t="s">
        <v>200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>
      <c r="A4" s="17" t="s">
        <v>12</v>
      </c>
      <c r="B4" s="17" t="s">
        <v>31</v>
      </c>
      <c r="C4" s="17" t="s">
        <v>31</v>
      </c>
      <c r="D4" s="23" t="s">
        <v>31</v>
      </c>
      <c r="E4" s="33">
        <v>1.0</v>
      </c>
      <c r="F4" s="34">
        <v>56000.0</v>
      </c>
      <c r="G4" s="20" t="s">
        <v>223</v>
      </c>
      <c r="H4" s="19">
        <v>1000.0</v>
      </c>
      <c r="I4" s="17"/>
      <c r="J4" s="19" t="s">
        <v>10</v>
      </c>
      <c r="K4" s="23" t="s">
        <v>173</v>
      </c>
      <c r="L4" s="23" t="s">
        <v>153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>
      <c r="A5" s="17" t="s">
        <v>23</v>
      </c>
      <c r="B5" s="17" t="s">
        <v>23</v>
      </c>
      <c r="C5" s="17" t="s">
        <v>23</v>
      </c>
      <c r="D5" s="23" t="s">
        <v>23</v>
      </c>
      <c r="E5" s="33">
        <v>0.58</v>
      </c>
      <c r="F5" s="34">
        <v>40000.0</v>
      </c>
      <c r="G5" s="20" t="s">
        <v>223</v>
      </c>
      <c r="H5" s="19">
        <v>1000.0</v>
      </c>
      <c r="I5" s="17"/>
      <c r="J5" s="23" t="s">
        <v>23</v>
      </c>
      <c r="K5" s="23" t="s">
        <v>127</v>
      </c>
      <c r="L5" s="23" t="s">
        <v>142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>
      <c r="A6" s="17" t="s">
        <v>31</v>
      </c>
      <c r="B6" s="17" t="s">
        <v>153</v>
      </c>
      <c r="C6" s="17" t="s">
        <v>153</v>
      </c>
      <c r="D6" s="23" t="s">
        <v>153</v>
      </c>
      <c r="E6" s="33">
        <v>1.0</v>
      </c>
      <c r="F6" s="34">
        <v>8000.0</v>
      </c>
      <c r="G6" s="20" t="s">
        <v>224</v>
      </c>
      <c r="H6" s="19">
        <v>45.0</v>
      </c>
      <c r="I6" s="17"/>
      <c r="J6" s="23" t="s">
        <v>31</v>
      </c>
      <c r="K6" s="23" t="s">
        <v>182</v>
      </c>
      <c r="L6" s="23" t="s">
        <v>136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>
      <c r="A7" s="17" t="s">
        <v>39</v>
      </c>
      <c r="B7" s="17" t="s">
        <v>142</v>
      </c>
      <c r="C7" s="17" t="s">
        <v>142</v>
      </c>
      <c r="D7" s="23" t="s">
        <v>142</v>
      </c>
      <c r="E7" s="33">
        <v>1.0</v>
      </c>
      <c r="F7" s="34">
        <v>40000.0</v>
      </c>
      <c r="G7" s="20" t="s">
        <v>223</v>
      </c>
      <c r="H7" s="19">
        <v>1000.0</v>
      </c>
      <c r="I7" s="17"/>
      <c r="J7" s="23" t="s">
        <v>39</v>
      </c>
      <c r="K7" s="23" t="s">
        <v>135</v>
      </c>
      <c r="L7" s="23" t="s">
        <v>185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>
      <c r="A8" s="17" t="s">
        <v>46</v>
      </c>
      <c r="B8" s="17" t="s">
        <v>136</v>
      </c>
      <c r="C8" s="17" t="s">
        <v>136</v>
      </c>
      <c r="D8" s="23" t="s">
        <v>136</v>
      </c>
      <c r="E8" s="33">
        <v>1.0</v>
      </c>
      <c r="F8" s="34">
        <v>55000.0</v>
      </c>
      <c r="G8" s="20" t="s">
        <v>223</v>
      </c>
      <c r="H8" s="19">
        <v>1000.0</v>
      </c>
      <c r="I8" s="17"/>
      <c r="J8" s="23" t="s">
        <v>46</v>
      </c>
      <c r="K8" s="19" t="s">
        <v>177</v>
      </c>
      <c r="L8" s="23" t="s">
        <v>150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>
      <c r="A9" s="17" t="s">
        <v>52</v>
      </c>
      <c r="B9" s="17" t="s">
        <v>185</v>
      </c>
      <c r="C9" s="17" t="s">
        <v>185</v>
      </c>
      <c r="D9" s="23" t="s">
        <v>185</v>
      </c>
      <c r="E9" s="33">
        <v>1.0</v>
      </c>
      <c r="F9" s="35"/>
      <c r="G9" s="20" t="s">
        <v>223</v>
      </c>
      <c r="H9" s="19">
        <v>1000.0</v>
      </c>
      <c r="I9" s="17"/>
      <c r="J9" s="23" t="s">
        <v>52</v>
      </c>
      <c r="K9" s="23" t="s">
        <v>174</v>
      </c>
      <c r="L9" s="23" t="s">
        <v>123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>
      <c r="A10" s="17" t="s">
        <v>54</v>
      </c>
      <c r="B10" s="17" t="s">
        <v>150</v>
      </c>
      <c r="C10" s="17" t="s">
        <v>150</v>
      </c>
      <c r="D10" s="23" t="s">
        <v>150</v>
      </c>
      <c r="E10" s="33">
        <v>1.0</v>
      </c>
      <c r="F10" s="35"/>
      <c r="G10" s="20" t="s">
        <v>223</v>
      </c>
      <c r="H10" s="19">
        <v>1000.0</v>
      </c>
      <c r="I10" s="17"/>
      <c r="J10" s="23" t="s">
        <v>54</v>
      </c>
      <c r="K10" s="23" t="s">
        <v>144</v>
      </c>
      <c r="L10" s="23" t="s">
        <v>206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>
      <c r="A11" s="17" t="s">
        <v>57</v>
      </c>
      <c r="B11" s="17" t="s">
        <v>123</v>
      </c>
      <c r="C11" s="17" t="s">
        <v>123</v>
      </c>
      <c r="D11" s="23" t="s">
        <v>123</v>
      </c>
      <c r="E11" s="33">
        <v>1.0</v>
      </c>
      <c r="F11" s="34">
        <v>45000.0</v>
      </c>
      <c r="G11" s="20" t="s">
        <v>223</v>
      </c>
      <c r="H11" s="19">
        <v>1000.0</v>
      </c>
      <c r="I11" s="17"/>
      <c r="J11" s="23" t="s">
        <v>225</v>
      </c>
      <c r="K11" s="23" t="s">
        <v>154</v>
      </c>
      <c r="L11" s="23" t="s">
        <v>180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>
      <c r="A12" s="17" t="s">
        <v>60</v>
      </c>
      <c r="B12" s="17" t="s">
        <v>196</v>
      </c>
      <c r="C12" s="17" t="s">
        <v>87</v>
      </c>
      <c r="D12" s="23" t="s">
        <v>87</v>
      </c>
      <c r="E12" s="33">
        <v>0.8</v>
      </c>
      <c r="F12" s="35"/>
      <c r="G12" s="20" t="s">
        <v>223</v>
      </c>
      <c r="H12" s="19">
        <v>1000.0</v>
      </c>
      <c r="I12" s="17"/>
      <c r="J12" s="23" t="s">
        <v>60</v>
      </c>
      <c r="K12" s="23" t="s">
        <v>95</v>
      </c>
      <c r="L12" s="23" t="s">
        <v>210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>
      <c r="A13" s="17" t="s">
        <v>65</v>
      </c>
      <c r="B13" s="17" t="s">
        <v>173</v>
      </c>
      <c r="C13" s="17" t="s">
        <v>196</v>
      </c>
      <c r="D13" s="23" t="s">
        <v>196</v>
      </c>
      <c r="E13" s="33">
        <v>1.0</v>
      </c>
      <c r="F13" s="35"/>
      <c r="G13" s="20" t="s">
        <v>226</v>
      </c>
      <c r="H13" s="19">
        <v>300.0</v>
      </c>
      <c r="I13" s="17"/>
      <c r="J13" s="23" t="s">
        <v>65</v>
      </c>
      <c r="K13" s="23" t="s">
        <v>149</v>
      </c>
      <c r="L13" s="23" t="s">
        <v>131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>
      <c r="A14" s="17" t="s">
        <v>69</v>
      </c>
      <c r="B14" s="17" t="s">
        <v>206</v>
      </c>
      <c r="C14" s="17" t="s">
        <v>173</v>
      </c>
      <c r="D14" s="23" t="s">
        <v>173</v>
      </c>
      <c r="E14" s="33">
        <v>1.0</v>
      </c>
      <c r="F14" s="34">
        <v>43000.0</v>
      </c>
      <c r="G14" s="20" t="s">
        <v>223</v>
      </c>
      <c r="H14" s="19">
        <v>1000.0</v>
      </c>
      <c r="I14" s="17"/>
      <c r="J14" s="23" t="s">
        <v>69</v>
      </c>
      <c r="K14" s="23" t="s">
        <v>168</v>
      </c>
      <c r="L14" s="23" t="s">
        <v>157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>
      <c r="A15" s="17" t="s">
        <v>70</v>
      </c>
      <c r="B15" s="17" t="s">
        <v>180</v>
      </c>
      <c r="C15" s="17" t="s">
        <v>206</v>
      </c>
      <c r="D15" s="23" t="s">
        <v>206</v>
      </c>
      <c r="E15" s="33">
        <v>1.0</v>
      </c>
      <c r="F15" s="34">
        <v>40000.0</v>
      </c>
      <c r="G15" s="20" t="s">
        <v>223</v>
      </c>
      <c r="H15" s="19">
        <v>1000.0</v>
      </c>
      <c r="I15" s="17"/>
      <c r="J15" s="23" t="s">
        <v>70</v>
      </c>
      <c r="K15" s="23" t="s">
        <v>187</v>
      </c>
      <c r="L15" s="23" t="s">
        <v>190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>
      <c r="A16" s="17" t="s">
        <v>71</v>
      </c>
      <c r="B16" s="17" t="s">
        <v>210</v>
      </c>
      <c r="C16" s="17" t="s">
        <v>180</v>
      </c>
      <c r="D16" s="23" t="s">
        <v>180</v>
      </c>
      <c r="E16" s="33">
        <v>1.0</v>
      </c>
      <c r="F16" s="34">
        <v>40000.0</v>
      </c>
      <c r="G16" s="20" t="s">
        <v>223</v>
      </c>
      <c r="H16" s="19">
        <v>1000.0</v>
      </c>
      <c r="I16" s="17"/>
      <c r="J16" s="23" t="s">
        <v>71</v>
      </c>
      <c r="K16" s="23" t="s">
        <v>129</v>
      </c>
      <c r="L16" s="23" t="s">
        <v>137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>
      <c r="A17" s="17" t="s">
        <v>74</v>
      </c>
      <c r="B17" s="17" t="s">
        <v>161</v>
      </c>
      <c r="C17" s="17" t="s">
        <v>210</v>
      </c>
      <c r="D17" s="23" t="s">
        <v>210</v>
      </c>
      <c r="E17" s="33">
        <v>1.0</v>
      </c>
      <c r="F17" s="35"/>
      <c r="G17" s="20" t="s">
        <v>223</v>
      </c>
      <c r="H17" s="19">
        <v>1000.0</v>
      </c>
      <c r="I17" s="17"/>
      <c r="J17" s="23" t="s">
        <v>74</v>
      </c>
      <c r="K17" s="23" t="s">
        <v>165</v>
      </c>
      <c r="L17" s="23" t="s">
        <v>186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>
      <c r="A18" s="17" t="s">
        <v>75</v>
      </c>
      <c r="B18" s="17" t="s">
        <v>131</v>
      </c>
      <c r="C18" s="17" t="s">
        <v>161</v>
      </c>
      <c r="D18" s="23" t="s">
        <v>161</v>
      </c>
      <c r="E18" s="33">
        <v>1.0</v>
      </c>
      <c r="F18" s="35"/>
      <c r="G18" s="20" t="s">
        <v>223</v>
      </c>
      <c r="H18" s="19">
        <v>1000.0</v>
      </c>
      <c r="I18" s="17"/>
      <c r="J18" s="23" t="s">
        <v>75</v>
      </c>
      <c r="K18" s="23" t="s">
        <v>167</v>
      </c>
      <c r="L18" s="23" t="s">
        <v>179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>
      <c r="A19" s="17" t="s">
        <v>77</v>
      </c>
      <c r="B19" s="17" t="s">
        <v>157</v>
      </c>
      <c r="C19" s="17" t="s">
        <v>131</v>
      </c>
      <c r="D19" s="23" t="s">
        <v>131</v>
      </c>
      <c r="E19" s="33">
        <v>1.0</v>
      </c>
      <c r="F19" s="34">
        <v>40000.0</v>
      </c>
      <c r="G19" s="20" t="s">
        <v>223</v>
      </c>
      <c r="H19" s="19">
        <v>1000.0</v>
      </c>
      <c r="I19" s="17"/>
      <c r="J19" s="23" t="s">
        <v>77</v>
      </c>
      <c r="K19" s="23" t="s">
        <v>169</v>
      </c>
      <c r="L19" s="19" t="s">
        <v>161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>
      <c r="A20" s="17" t="s">
        <v>79</v>
      </c>
      <c r="B20" s="17" t="s">
        <v>190</v>
      </c>
      <c r="C20" s="17" t="s">
        <v>157</v>
      </c>
      <c r="D20" s="23" t="s">
        <v>157</v>
      </c>
      <c r="E20" s="33">
        <v>1.0</v>
      </c>
      <c r="F20" s="34">
        <v>40000.0</v>
      </c>
      <c r="G20" s="20" t="s">
        <v>223</v>
      </c>
      <c r="H20" s="19">
        <v>1000.0</v>
      </c>
      <c r="I20" s="17"/>
      <c r="J20" s="23" t="s">
        <v>79</v>
      </c>
      <c r="K20" s="23" t="s">
        <v>175</v>
      </c>
      <c r="L20" s="23" t="s">
        <v>164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>
      <c r="A21" s="17" t="s">
        <v>81</v>
      </c>
      <c r="B21" s="17" t="s">
        <v>137</v>
      </c>
      <c r="C21" s="17" t="s">
        <v>190</v>
      </c>
      <c r="D21" s="23" t="s">
        <v>190</v>
      </c>
      <c r="E21" s="33">
        <v>1.0</v>
      </c>
      <c r="F21" s="34">
        <v>40000.0</v>
      </c>
      <c r="G21" s="20" t="s">
        <v>223</v>
      </c>
      <c r="H21" s="19">
        <v>1000.0</v>
      </c>
      <c r="I21" s="17"/>
      <c r="J21" s="23" t="s">
        <v>81</v>
      </c>
      <c r="K21" s="23" t="s">
        <v>176</v>
      </c>
      <c r="L21" s="23" t="s">
        <v>178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>
      <c r="A22" s="17" t="s">
        <v>82</v>
      </c>
      <c r="B22" s="17" t="s">
        <v>186</v>
      </c>
      <c r="C22" s="17" t="s">
        <v>137</v>
      </c>
      <c r="D22" s="23" t="s">
        <v>137</v>
      </c>
      <c r="E22" s="33">
        <v>1.0</v>
      </c>
      <c r="F22" s="34">
        <v>40000.0</v>
      </c>
      <c r="G22" s="20" t="s">
        <v>223</v>
      </c>
      <c r="H22" s="19">
        <v>1000.0</v>
      </c>
      <c r="I22" s="17"/>
      <c r="J22" s="23" t="s">
        <v>82</v>
      </c>
      <c r="K22" s="23" t="s">
        <v>172</v>
      </c>
      <c r="L22" s="23" t="s">
        <v>143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>
      <c r="A23" s="17" t="s">
        <v>85</v>
      </c>
      <c r="B23" s="17" t="s">
        <v>179</v>
      </c>
      <c r="C23" s="17" t="s">
        <v>186</v>
      </c>
      <c r="D23" s="23" t="s">
        <v>186</v>
      </c>
      <c r="E23" s="33">
        <v>1.0</v>
      </c>
      <c r="F23" s="35"/>
      <c r="G23" s="20" t="s">
        <v>223</v>
      </c>
      <c r="H23" s="19">
        <v>1000.0</v>
      </c>
      <c r="I23" s="17"/>
      <c r="J23" s="23" t="s">
        <v>85</v>
      </c>
      <c r="K23" s="23" t="s">
        <v>39</v>
      </c>
      <c r="L23" s="23" t="s">
        <v>199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>
      <c r="A24" s="17" t="s">
        <v>87</v>
      </c>
      <c r="B24" s="17" t="s">
        <v>164</v>
      </c>
      <c r="C24" s="17" t="s">
        <v>179</v>
      </c>
      <c r="D24" s="23" t="s">
        <v>179</v>
      </c>
      <c r="E24" s="33">
        <v>1.0</v>
      </c>
      <c r="F24" s="34">
        <v>40000.0</v>
      </c>
      <c r="G24" s="20" t="s">
        <v>223</v>
      </c>
      <c r="H24" s="19">
        <v>1000.0</v>
      </c>
      <c r="I24" s="17"/>
      <c r="J24" s="23" t="s">
        <v>87</v>
      </c>
      <c r="K24" s="23" t="s">
        <v>152</v>
      </c>
      <c r="L24" s="23" t="s">
        <v>203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>
      <c r="A25" s="17" t="s">
        <v>88</v>
      </c>
      <c r="B25" s="17" t="s">
        <v>178</v>
      </c>
      <c r="C25" s="17" t="s">
        <v>79</v>
      </c>
      <c r="D25" s="23" t="s">
        <v>79</v>
      </c>
      <c r="E25" s="33">
        <v>0.9</v>
      </c>
      <c r="F25" s="34">
        <v>14000.0</v>
      </c>
      <c r="G25" s="20" t="s">
        <v>223</v>
      </c>
      <c r="H25" s="19">
        <v>1000.0</v>
      </c>
      <c r="I25" s="17"/>
      <c r="J25" s="19" t="s">
        <v>88</v>
      </c>
      <c r="K25" s="23" t="s">
        <v>148</v>
      </c>
      <c r="L25" s="23" t="s">
        <v>158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>
      <c r="A26" s="17" t="s">
        <v>90</v>
      </c>
      <c r="B26" s="17" t="s">
        <v>143</v>
      </c>
      <c r="C26" s="17" t="s">
        <v>164</v>
      </c>
      <c r="D26" s="23" t="s">
        <v>164</v>
      </c>
      <c r="E26" s="33">
        <v>1.0</v>
      </c>
      <c r="F26" s="35"/>
      <c r="G26" s="20" t="s">
        <v>223</v>
      </c>
      <c r="H26" s="19">
        <v>1000.0</v>
      </c>
      <c r="I26" s="17"/>
      <c r="J26" s="23" t="s">
        <v>90</v>
      </c>
      <c r="K26" s="23" t="s">
        <v>197</v>
      </c>
      <c r="L26" s="23" t="s">
        <v>126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>
      <c r="A27" s="17" t="s">
        <v>92</v>
      </c>
      <c r="B27" s="17" t="s">
        <v>199</v>
      </c>
      <c r="C27" s="17" t="s">
        <v>178</v>
      </c>
      <c r="D27" s="23" t="s">
        <v>178</v>
      </c>
      <c r="E27" s="33">
        <v>1.0</v>
      </c>
      <c r="F27" s="34">
        <v>20000.0</v>
      </c>
      <c r="G27" s="20" t="s">
        <v>223</v>
      </c>
      <c r="H27" s="19">
        <v>1000.0</v>
      </c>
      <c r="I27" s="17"/>
      <c r="J27" s="23" t="s">
        <v>92</v>
      </c>
      <c r="K27" s="23" t="s">
        <v>147</v>
      </c>
      <c r="L27" s="23" t="s">
        <v>160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>
      <c r="A28" s="17" t="s">
        <v>93</v>
      </c>
      <c r="B28" s="17" t="s">
        <v>203</v>
      </c>
      <c r="C28" s="17" t="s">
        <v>143</v>
      </c>
      <c r="D28" s="23" t="s">
        <v>143</v>
      </c>
      <c r="E28" s="33">
        <v>1.0</v>
      </c>
      <c r="F28" s="34">
        <v>37000.0</v>
      </c>
      <c r="G28" s="20" t="s">
        <v>223</v>
      </c>
      <c r="H28" s="19">
        <v>1000.0</v>
      </c>
      <c r="I28" s="17"/>
      <c r="J28" s="23" t="s">
        <v>93</v>
      </c>
      <c r="K28" s="23" t="s">
        <v>202</v>
      </c>
      <c r="L28" s="23" t="s">
        <v>156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>
      <c r="A29" s="17" t="s">
        <v>95</v>
      </c>
      <c r="B29" s="17" t="s">
        <v>46</v>
      </c>
      <c r="C29" s="17" t="s">
        <v>199</v>
      </c>
      <c r="D29" s="23" t="s">
        <v>199</v>
      </c>
      <c r="E29" s="33">
        <v>1.0</v>
      </c>
      <c r="F29" s="34">
        <v>60000.0</v>
      </c>
      <c r="G29" s="20" t="s">
        <v>223</v>
      </c>
      <c r="H29" s="19">
        <v>1000.0</v>
      </c>
      <c r="I29" s="17"/>
      <c r="J29" s="23" t="s">
        <v>95</v>
      </c>
      <c r="K29" s="23" t="s">
        <v>128</v>
      </c>
      <c r="L29" s="23" t="s">
        <v>155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>
      <c r="A30" s="17" t="s">
        <v>97</v>
      </c>
      <c r="B30" s="17" t="s">
        <v>158</v>
      </c>
      <c r="C30" s="17" t="s">
        <v>99</v>
      </c>
      <c r="D30" s="23" t="s">
        <v>99</v>
      </c>
      <c r="E30" s="33">
        <v>0.87</v>
      </c>
      <c r="F30" s="34">
        <v>10000.0</v>
      </c>
      <c r="G30" s="20" t="s">
        <v>223</v>
      </c>
      <c r="H30" s="19">
        <v>1000.0</v>
      </c>
      <c r="I30" s="17"/>
      <c r="J30" s="23" t="s">
        <v>99</v>
      </c>
      <c r="K30" s="23" t="s">
        <v>75</v>
      </c>
      <c r="L30" s="23" t="s">
        <v>134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>
      <c r="A31" s="17" t="s">
        <v>99</v>
      </c>
      <c r="B31" s="17" t="s">
        <v>126</v>
      </c>
      <c r="C31" s="17" t="s">
        <v>203</v>
      </c>
      <c r="D31" s="23" t="s">
        <v>203</v>
      </c>
      <c r="E31" s="33">
        <v>1.0</v>
      </c>
      <c r="F31" s="34">
        <v>18000.0</v>
      </c>
      <c r="G31" s="20" t="s">
        <v>224</v>
      </c>
      <c r="H31" s="19">
        <v>650.0</v>
      </c>
      <c r="I31" s="17"/>
      <c r="J31" s="23" t="s">
        <v>100</v>
      </c>
      <c r="K31" s="23"/>
      <c r="L31" s="23" t="s">
        <v>195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>
      <c r="A32" s="17" t="s">
        <v>100</v>
      </c>
      <c r="B32" s="17" t="s">
        <v>160</v>
      </c>
      <c r="C32" s="17" t="s">
        <v>46</v>
      </c>
      <c r="D32" s="23" t="s">
        <v>46</v>
      </c>
      <c r="E32" s="33">
        <v>1.0</v>
      </c>
      <c r="F32" s="35"/>
      <c r="G32" s="20" t="s">
        <v>223</v>
      </c>
      <c r="H32" s="19">
        <v>1000.0</v>
      </c>
      <c r="I32" s="17"/>
      <c r="J32" s="23"/>
      <c r="K32" s="23"/>
      <c r="L32" s="23" t="s">
        <v>140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>
      <c r="A33" s="17" t="s">
        <v>103</v>
      </c>
      <c r="B33" s="17" t="s">
        <v>156</v>
      </c>
      <c r="C33" s="17" t="s">
        <v>158</v>
      </c>
      <c r="D33" s="23" t="s">
        <v>158</v>
      </c>
      <c r="E33" s="33">
        <v>1.0</v>
      </c>
      <c r="F33" s="34">
        <v>15000.0</v>
      </c>
      <c r="G33" s="20" t="s">
        <v>223</v>
      </c>
      <c r="H33" s="19">
        <v>1000.0</v>
      </c>
      <c r="I33" s="17"/>
      <c r="J33" s="23"/>
      <c r="K33" s="23"/>
      <c r="L33" s="23" t="s">
        <v>151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>
      <c r="A34" s="17"/>
      <c r="B34" s="17" t="s">
        <v>155</v>
      </c>
      <c r="C34" s="17" t="s">
        <v>126</v>
      </c>
      <c r="D34" s="23" t="s">
        <v>126</v>
      </c>
      <c r="E34" s="33">
        <v>1.0</v>
      </c>
      <c r="F34" s="34">
        <v>70000.0</v>
      </c>
      <c r="G34" s="20" t="s">
        <v>223</v>
      </c>
      <c r="H34" s="19">
        <v>1000.0</v>
      </c>
      <c r="I34" s="17"/>
      <c r="J34" s="23"/>
      <c r="K34" s="23"/>
      <c r="L34" s="23" t="s">
        <v>162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>
      <c r="A35" s="17"/>
      <c r="B35" s="17" t="s">
        <v>134</v>
      </c>
      <c r="C35" s="17" t="s">
        <v>160</v>
      </c>
      <c r="D35" s="23" t="s">
        <v>160</v>
      </c>
      <c r="E35" s="33">
        <v>1.0</v>
      </c>
      <c r="F35" s="35"/>
      <c r="G35" s="20" t="s">
        <v>125</v>
      </c>
      <c r="H35" s="19">
        <v>1.0</v>
      </c>
      <c r="I35" s="17"/>
      <c r="J35" s="23"/>
      <c r="K35" s="23"/>
      <c r="L35" s="23" t="s">
        <v>163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>
      <c r="A36" s="17"/>
      <c r="B36" s="17" t="s">
        <v>195</v>
      </c>
      <c r="C36" s="17" t="s">
        <v>156</v>
      </c>
      <c r="D36" s="23" t="s">
        <v>156</v>
      </c>
      <c r="E36" s="33">
        <v>1.0</v>
      </c>
      <c r="F36" s="34">
        <v>35000.0</v>
      </c>
      <c r="G36" s="20" t="s">
        <v>223</v>
      </c>
      <c r="H36" s="19">
        <v>1000.0</v>
      </c>
      <c r="I36" s="17"/>
      <c r="J36" s="23"/>
      <c r="K36" s="23"/>
      <c r="L36" s="23" t="s">
        <v>138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>
      <c r="A37" s="17"/>
      <c r="B37" s="17" t="s">
        <v>69</v>
      </c>
      <c r="C37" s="17" t="s">
        <v>155</v>
      </c>
      <c r="D37" s="23" t="s">
        <v>155</v>
      </c>
      <c r="E37" s="33">
        <v>1.0</v>
      </c>
      <c r="F37" s="34">
        <v>6000.0</v>
      </c>
      <c r="G37" s="20" t="s">
        <v>125</v>
      </c>
      <c r="H37" s="19">
        <v>1.0</v>
      </c>
      <c r="I37" s="17"/>
      <c r="J37" s="23"/>
      <c r="K37" s="23"/>
      <c r="L37" s="23" t="s">
        <v>133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>
      <c r="A38" s="17"/>
      <c r="B38" s="17" t="s">
        <v>127</v>
      </c>
      <c r="C38" s="17" t="s">
        <v>134</v>
      </c>
      <c r="D38" s="23" t="s">
        <v>134</v>
      </c>
      <c r="E38" s="33">
        <v>1.0</v>
      </c>
      <c r="F38" s="34">
        <v>8500.0</v>
      </c>
      <c r="G38" s="20" t="s">
        <v>125</v>
      </c>
      <c r="H38" s="19">
        <v>1.0</v>
      </c>
      <c r="I38" s="17"/>
      <c r="J38" s="23"/>
      <c r="K38" s="23"/>
      <c r="L38" s="23" t="s">
        <v>132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>
      <c r="A39" s="17"/>
      <c r="B39" s="17" t="s">
        <v>182</v>
      </c>
      <c r="C39" s="17" t="s">
        <v>195</v>
      </c>
      <c r="D39" s="23" t="s">
        <v>195</v>
      </c>
      <c r="E39" s="33">
        <v>1.0</v>
      </c>
      <c r="F39" s="35"/>
      <c r="G39" s="20" t="s">
        <v>223</v>
      </c>
      <c r="H39" s="19">
        <v>1000.0</v>
      </c>
      <c r="I39" s="17"/>
      <c r="J39" s="23"/>
      <c r="K39" s="23"/>
      <c r="L39" s="23" t="s">
        <v>145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>
      <c r="A40" s="17"/>
      <c r="B40" s="17" t="s">
        <v>135</v>
      </c>
      <c r="C40" s="17" t="s">
        <v>92</v>
      </c>
      <c r="D40" s="23" t="s">
        <v>92</v>
      </c>
      <c r="E40" s="33">
        <v>0.87</v>
      </c>
      <c r="F40" s="35"/>
      <c r="G40" s="20" t="s">
        <v>223</v>
      </c>
      <c r="H40" s="19">
        <v>1000.0</v>
      </c>
      <c r="I40" s="17"/>
      <c r="J40" s="23"/>
      <c r="K40" s="23"/>
      <c r="L40" s="23" t="s">
        <v>141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>
      <c r="A41" s="17"/>
      <c r="B41" s="17" t="s">
        <v>57</v>
      </c>
      <c r="C41" s="17" t="s">
        <v>69</v>
      </c>
      <c r="D41" s="23" t="s">
        <v>69</v>
      </c>
      <c r="E41" s="33">
        <v>0.5</v>
      </c>
      <c r="F41" s="34">
        <v>34000.0</v>
      </c>
      <c r="G41" s="20" t="s">
        <v>223</v>
      </c>
      <c r="H41" s="19">
        <v>1000.0</v>
      </c>
      <c r="I41" s="17"/>
      <c r="J41" s="23"/>
      <c r="K41" s="23"/>
      <c r="L41" s="23" t="s">
        <v>124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>
      <c r="A42" s="17"/>
      <c r="B42" s="17" t="s">
        <v>52</v>
      </c>
      <c r="C42" s="17" t="s">
        <v>127</v>
      </c>
      <c r="D42" s="23" t="s">
        <v>127</v>
      </c>
      <c r="E42" s="33">
        <v>1.0</v>
      </c>
      <c r="F42" s="34">
        <v>8000.0</v>
      </c>
      <c r="G42" s="20" t="s">
        <v>226</v>
      </c>
      <c r="H42" s="19">
        <v>500.0</v>
      </c>
      <c r="I42" s="17"/>
      <c r="J42" s="23"/>
      <c r="K42" s="23"/>
      <c r="L42" s="23" t="s">
        <v>159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>
      <c r="A43" s="17"/>
      <c r="B43" s="17" t="s">
        <v>54</v>
      </c>
      <c r="C43" s="17" t="s">
        <v>182</v>
      </c>
      <c r="D43" s="23" t="s">
        <v>182</v>
      </c>
      <c r="E43" s="33">
        <v>1.0</v>
      </c>
      <c r="F43" s="34">
        <v>27000.0</v>
      </c>
      <c r="G43" s="20" t="s">
        <v>223</v>
      </c>
      <c r="H43" s="19">
        <v>1000.0</v>
      </c>
      <c r="I43" s="17"/>
      <c r="J43" s="23"/>
      <c r="K43" s="23"/>
      <c r="L43" s="23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>
      <c r="A44" s="17"/>
      <c r="B44" s="17" t="s">
        <v>140</v>
      </c>
      <c r="C44" s="17" t="s">
        <v>135</v>
      </c>
      <c r="D44" s="23" t="s">
        <v>135</v>
      </c>
      <c r="E44" s="33">
        <v>1.0</v>
      </c>
      <c r="F44" s="34">
        <v>19000.0</v>
      </c>
      <c r="G44" s="20" t="s">
        <v>223</v>
      </c>
      <c r="H44" s="19">
        <v>1000.0</v>
      </c>
      <c r="I44" s="17"/>
      <c r="J44" s="23"/>
      <c r="K44" s="23"/>
      <c r="L44" s="23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>
      <c r="A45" s="17"/>
      <c r="B45" s="17" t="s">
        <v>151</v>
      </c>
      <c r="C45" s="17" t="s">
        <v>57</v>
      </c>
      <c r="D45" s="19" t="s">
        <v>57</v>
      </c>
      <c r="E45" s="33">
        <v>1.0</v>
      </c>
      <c r="F45" s="34">
        <v>67000.0</v>
      </c>
      <c r="G45" s="20" t="s">
        <v>223</v>
      </c>
      <c r="H45" s="19">
        <v>1000.0</v>
      </c>
      <c r="I45" s="17"/>
      <c r="J45" s="23"/>
      <c r="K45" s="23"/>
      <c r="L45" s="23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>
      <c r="A46" s="17"/>
      <c r="B46" s="17" t="s">
        <v>162</v>
      </c>
      <c r="C46" s="17" t="s">
        <v>52</v>
      </c>
      <c r="D46" s="23" t="s">
        <v>52</v>
      </c>
      <c r="E46" s="33">
        <v>0.8</v>
      </c>
      <c r="F46" s="34">
        <v>37000.0</v>
      </c>
      <c r="G46" s="20" t="s">
        <v>223</v>
      </c>
      <c r="H46" s="19">
        <v>1000.0</v>
      </c>
      <c r="I46" s="17"/>
      <c r="J46" s="23"/>
      <c r="K46" s="23"/>
      <c r="L46" s="23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>
      <c r="A47" s="17"/>
      <c r="B47" s="17" t="s">
        <v>163</v>
      </c>
      <c r="C47" s="17" t="s">
        <v>54</v>
      </c>
      <c r="D47" s="23" t="s">
        <v>54</v>
      </c>
      <c r="E47" s="33">
        <v>0.8</v>
      </c>
      <c r="F47" s="34">
        <v>48000.0</v>
      </c>
      <c r="G47" s="20" t="s">
        <v>223</v>
      </c>
      <c r="H47" s="19">
        <v>1000.0</v>
      </c>
      <c r="I47" s="17"/>
      <c r="J47" s="23"/>
      <c r="K47" s="23"/>
      <c r="L47" s="23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>
      <c r="A48" s="17"/>
      <c r="B48" s="17" t="s">
        <v>177</v>
      </c>
      <c r="C48" s="17" t="s">
        <v>88</v>
      </c>
      <c r="D48" s="19" t="s">
        <v>88</v>
      </c>
      <c r="E48" s="33">
        <v>0.4</v>
      </c>
      <c r="F48" s="34">
        <v>15000.0</v>
      </c>
      <c r="G48" s="20" t="s">
        <v>223</v>
      </c>
      <c r="H48" s="19">
        <v>1000.0</v>
      </c>
      <c r="I48" s="17"/>
      <c r="J48" s="23"/>
      <c r="K48" s="23"/>
      <c r="L48" s="23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>
      <c r="A49" s="17"/>
      <c r="B49" s="17" t="s">
        <v>174</v>
      </c>
      <c r="C49" s="17" t="s">
        <v>97</v>
      </c>
      <c r="D49" s="23" t="s">
        <v>140</v>
      </c>
      <c r="E49" s="33">
        <v>1.0</v>
      </c>
      <c r="F49" s="34">
        <v>25000.0</v>
      </c>
      <c r="G49" s="20" t="s">
        <v>223</v>
      </c>
      <c r="H49" s="19">
        <v>1000.0</v>
      </c>
      <c r="I49" s="17"/>
      <c r="J49" s="23"/>
      <c r="K49" s="23"/>
      <c r="L49" s="23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>
      <c r="A50" s="17"/>
      <c r="B50" s="17" t="s">
        <v>144</v>
      </c>
      <c r="C50" s="17" t="s">
        <v>140</v>
      </c>
      <c r="D50" s="23" t="s">
        <v>151</v>
      </c>
      <c r="E50" s="33">
        <v>1.0</v>
      </c>
      <c r="F50" s="35"/>
      <c r="G50" s="20" t="s">
        <v>223</v>
      </c>
      <c r="H50" s="19">
        <v>1000.0</v>
      </c>
      <c r="I50" s="17"/>
      <c r="J50" s="23"/>
      <c r="K50" s="23"/>
      <c r="L50" s="23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>
      <c r="A51" s="17"/>
      <c r="B51" s="17" t="s">
        <v>154</v>
      </c>
      <c r="C51" s="17" t="s">
        <v>151</v>
      </c>
      <c r="D51" s="23" t="s">
        <v>100</v>
      </c>
      <c r="E51" s="33">
        <v>0.95</v>
      </c>
      <c r="F51" s="34">
        <v>26000.0</v>
      </c>
      <c r="G51" s="20" t="s">
        <v>223</v>
      </c>
      <c r="H51" s="19">
        <v>1000.0</v>
      </c>
      <c r="I51" s="17"/>
      <c r="J51" s="23"/>
      <c r="K51" s="23"/>
      <c r="L51" s="23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>
      <c r="A52" s="17"/>
      <c r="B52" s="17" t="s">
        <v>138</v>
      </c>
      <c r="C52" s="17" t="s">
        <v>100</v>
      </c>
      <c r="D52" s="23" t="s">
        <v>90</v>
      </c>
      <c r="E52" s="33">
        <v>0.9</v>
      </c>
      <c r="F52" s="35"/>
      <c r="G52" s="20" t="s">
        <v>223</v>
      </c>
      <c r="H52" s="19">
        <v>1000.0</v>
      </c>
      <c r="I52" s="17"/>
      <c r="J52" s="23"/>
      <c r="K52" s="23"/>
      <c r="L52" s="23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>
      <c r="A53" s="17"/>
      <c r="B53" s="17" t="s">
        <v>133</v>
      </c>
      <c r="C53" s="17" t="s">
        <v>90</v>
      </c>
      <c r="D53" s="23" t="s">
        <v>77</v>
      </c>
      <c r="E53" s="33">
        <v>0.75</v>
      </c>
      <c r="F53" s="34">
        <v>13000.0</v>
      </c>
      <c r="G53" s="20" t="s">
        <v>223</v>
      </c>
      <c r="H53" s="19">
        <v>1000.0</v>
      </c>
      <c r="I53" s="17"/>
      <c r="J53" s="23"/>
      <c r="K53" s="23"/>
      <c r="L53" s="23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>
      <c r="A54" s="17"/>
      <c r="B54" s="17" t="s">
        <v>95</v>
      </c>
      <c r="C54" s="17" t="s">
        <v>77</v>
      </c>
      <c r="D54" s="23" t="s">
        <v>162</v>
      </c>
      <c r="E54" s="33">
        <v>1.0</v>
      </c>
      <c r="F54" s="35"/>
      <c r="G54" s="20" t="s">
        <v>223</v>
      </c>
      <c r="H54" s="19">
        <v>1000.0</v>
      </c>
      <c r="I54" s="17"/>
      <c r="J54" s="23"/>
      <c r="K54" s="23"/>
      <c r="L54" s="23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>
      <c r="A55" s="17"/>
      <c r="B55" s="17" t="s">
        <v>132</v>
      </c>
      <c r="C55" s="17" t="s">
        <v>162</v>
      </c>
      <c r="D55" s="23" t="s">
        <v>163</v>
      </c>
      <c r="E55" s="33">
        <v>1.0</v>
      </c>
      <c r="F55" s="35"/>
      <c r="G55" s="20" t="s">
        <v>223</v>
      </c>
      <c r="H55" s="19">
        <v>1000.0</v>
      </c>
      <c r="I55" s="17"/>
      <c r="J55" s="23"/>
      <c r="K55" s="23"/>
      <c r="L55" s="23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>
      <c r="A56" s="17"/>
      <c r="B56" s="17" t="s">
        <v>145</v>
      </c>
      <c r="C56" s="17" t="s">
        <v>163</v>
      </c>
      <c r="D56" s="19" t="s">
        <v>177</v>
      </c>
      <c r="E56" s="33">
        <v>1.0</v>
      </c>
      <c r="F56" s="34">
        <v>19000.0</v>
      </c>
      <c r="G56" s="20" t="s">
        <v>224</v>
      </c>
      <c r="H56" s="19">
        <v>133.0</v>
      </c>
      <c r="I56" s="17"/>
      <c r="J56" s="23"/>
      <c r="K56" s="23"/>
      <c r="L56" s="23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>
      <c r="A57" s="17"/>
      <c r="B57" s="17" t="s">
        <v>141</v>
      </c>
      <c r="C57" s="17" t="s">
        <v>177</v>
      </c>
      <c r="D57" s="23" t="s">
        <v>174</v>
      </c>
      <c r="E57" s="33">
        <v>1.0</v>
      </c>
      <c r="F57" s="34">
        <v>17000.0</v>
      </c>
      <c r="G57" s="20" t="s">
        <v>224</v>
      </c>
      <c r="H57" s="19">
        <v>195.0</v>
      </c>
      <c r="I57" s="17"/>
      <c r="J57" s="23"/>
      <c r="K57" s="23"/>
      <c r="L57" s="23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>
      <c r="A58" s="17"/>
      <c r="B58" s="17" t="s">
        <v>149</v>
      </c>
      <c r="C58" s="17" t="s">
        <v>174</v>
      </c>
      <c r="D58" s="23" t="s">
        <v>144</v>
      </c>
      <c r="E58" s="33">
        <v>1.0</v>
      </c>
      <c r="F58" s="34">
        <v>27000.0</v>
      </c>
      <c r="G58" s="20" t="s">
        <v>226</v>
      </c>
      <c r="H58" s="19">
        <v>825.0</v>
      </c>
      <c r="I58" s="17"/>
      <c r="J58" s="23"/>
      <c r="K58" s="23"/>
      <c r="L58" s="23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>
      <c r="A59" s="17"/>
      <c r="B59" s="17" t="s">
        <v>168</v>
      </c>
      <c r="C59" s="17" t="s">
        <v>144</v>
      </c>
      <c r="D59" s="23" t="s">
        <v>154</v>
      </c>
      <c r="E59" s="33">
        <v>1.0</v>
      </c>
      <c r="F59" s="34">
        <v>15000.0</v>
      </c>
      <c r="G59" s="20" t="s">
        <v>227</v>
      </c>
      <c r="H59" s="19">
        <v>400.0</v>
      </c>
      <c r="I59" s="17"/>
      <c r="J59" s="23"/>
      <c r="K59" s="23"/>
      <c r="L59" s="23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>
      <c r="A60" s="17"/>
      <c r="B60" s="17" t="s">
        <v>12</v>
      </c>
      <c r="C60" s="17" t="s">
        <v>154</v>
      </c>
      <c r="D60" s="23" t="s">
        <v>138</v>
      </c>
      <c r="E60" s="33">
        <v>1.0</v>
      </c>
      <c r="F60" s="34">
        <v>60000.0</v>
      </c>
      <c r="G60" s="20" t="s">
        <v>223</v>
      </c>
      <c r="H60" s="19">
        <v>1000.0</v>
      </c>
      <c r="I60" s="17"/>
      <c r="J60" s="23"/>
      <c r="K60" s="23"/>
      <c r="L60" s="23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>
      <c r="A61" s="17"/>
      <c r="B61" s="17" t="s">
        <v>10</v>
      </c>
      <c r="C61" s="17" t="s">
        <v>138</v>
      </c>
      <c r="D61" s="23" t="s">
        <v>133</v>
      </c>
      <c r="E61" s="33">
        <v>1.0</v>
      </c>
      <c r="F61" s="34">
        <v>40000.0</v>
      </c>
      <c r="G61" s="20" t="s">
        <v>223</v>
      </c>
      <c r="H61" s="19">
        <v>1000.0</v>
      </c>
      <c r="I61" s="17"/>
      <c r="J61" s="23"/>
      <c r="K61" s="23"/>
      <c r="L61" s="23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>
      <c r="A62" s="17"/>
      <c r="B62" s="17" t="s">
        <v>187</v>
      </c>
      <c r="C62" s="17" t="s">
        <v>133</v>
      </c>
      <c r="D62" s="23" t="s">
        <v>95</v>
      </c>
      <c r="E62" s="33">
        <v>0.85</v>
      </c>
      <c r="F62" s="34">
        <v>12000.0</v>
      </c>
      <c r="G62" s="20" t="s">
        <v>223</v>
      </c>
      <c r="H62" s="19">
        <v>1000.0</v>
      </c>
      <c r="I62" s="17"/>
      <c r="J62" s="23"/>
      <c r="K62" s="23"/>
      <c r="L62" s="23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>
      <c r="A63" s="17"/>
      <c r="B63" s="17" t="s">
        <v>129</v>
      </c>
      <c r="C63" s="17" t="s">
        <v>95</v>
      </c>
      <c r="D63" s="23" t="s">
        <v>132</v>
      </c>
      <c r="E63" s="33">
        <v>1.0</v>
      </c>
      <c r="F63" s="34">
        <v>25000.0</v>
      </c>
      <c r="G63" s="20" t="s">
        <v>223</v>
      </c>
      <c r="H63" s="19">
        <v>1000.0</v>
      </c>
      <c r="I63" s="17"/>
      <c r="J63" s="23"/>
      <c r="K63" s="23"/>
      <c r="L63" s="23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>
      <c r="A64" s="17"/>
      <c r="B64" s="17" t="s">
        <v>165</v>
      </c>
      <c r="C64" s="17" t="s">
        <v>132</v>
      </c>
      <c r="D64" s="23" t="s">
        <v>74</v>
      </c>
      <c r="E64" s="33">
        <v>0.83</v>
      </c>
      <c r="F64" s="34">
        <v>11000.0</v>
      </c>
      <c r="G64" s="20" t="s">
        <v>223</v>
      </c>
      <c r="H64" s="19">
        <v>1000.0</v>
      </c>
      <c r="I64" s="17"/>
      <c r="J64" s="23"/>
      <c r="K64" s="23"/>
      <c r="L64" s="23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>
      <c r="A65" s="17"/>
      <c r="B65" s="17" t="s">
        <v>167</v>
      </c>
      <c r="C65" s="17" t="s">
        <v>74</v>
      </c>
      <c r="D65" s="23" t="s">
        <v>145</v>
      </c>
      <c r="E65" s="33">
        <v>1.0</v>
      </c>
      <c r="F65" s="34">
        <v>150000.0</v>
      </c>
      <c r="G65" s="20" t="s">
        <v>223</v>
      </c>
      <c r="H65" s="19">
        <v>1000.0</v>
      </c>
      <c r="I65" s="17"/>
      <c r="J65" s="23"/>
      <c r="K65" s="23"/>
      <c r="L65" s="23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>
      <c r="A66" s="17"/>
      <c r="B66" s="17" t="s">
        <v>169</v>
      </c>
      <c r="C66" s="17" t="s">
        <v>145</v>
      </c>
      <c r="D66" s="23" t="s">
        <v>141</v>
      </c>
      <c r="E66" s="33">
        <v>1.0</v>
      </c>
      <c r="F66" s="34">
        <v>15000.0</v>
      </c>
      <c r="G66" s="20" t="s">
        <v>223</v>
      </c>
      <c r="H66" s="19">
        <v>1000.0</v>
      </c>
      <c r="I66" s="17"/>
      <c r="J66" s="23"/>
      <c r="K66" s="23"/>
      <c r="L66" s="23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>
      <c r="A67" s="17"/>
      <c r="B67" s="17" t="s">
        <v>175</v>
      </c>
      <c r="C67" s="17" t="s">
        <v>141</v>
      </c>
      <c r="D67" s="23" t="s">
        <v>149</v>
      </c>
      <c r="E67" s="33">
        <v>1.0</v>
      </c>
      <c r="F67" s="34">
        <v>25000.0</v>
      </c>
      <c r="G67" s="20" t="s">
        <v>223</v>
      </c>
      <c r="H67" s="19">
        <v>1000.0</v>
      </c>
      <c r="I67" s="17"/>
      <c r="J67" s="23"/>
      <c r="K67" s="23"/>
      <c r="L67" s="23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>
      <c r="A68" s="17"/>
      <c r="B68" s="17" t="s">
        <v>176</v>
      </c>
      <c r="C68" s="17" t="s">
        <v>149</v>
      </c>
      <c r="D68" s="23" t="s">
        <v>82</v>
      </c>
      <c r="E68" s="33">
        <v>0.85</v>
      </c>
      <c r="F68" s="34">
        <v>12000.0</v>
      </c>
      <c r="G68" s="20" t="s">
        <v>223</v>
      </c>
      <c r="H68" s="19">
        <v>1000.0</v>
      </c>
      <c r="I68" s="17"/>
      <c r="J68" s="23"/>
      <c r="K68" s="23"/>
      <c r="L68" s="23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>
      <c r="A69" s="17"/>
      <c r="B69" s="17" t="s">
        <v>172</v>
      </c>
      <c r="C69" s="17" t="s">
        <v>82</v>
      </c>
      <c r="D69" s="23" t="s">
        <v>103</v>
      </c>
      <c r="E69" s="33">
        <v>0.5</v>
      </c>
      <c r="F69" s="35"/>
      <c r="G69" s="20" t="s">
        <v>223</v>
      </c>
      <c r="H69" s="19">
        <v>1000.0</v>
      </c>
      <c r="I69" s="17"/>
      <c r="J69" s="23"/>
      <c r="K69" s="23"/>
      <c r="L69" s="23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>
      <c r="A70" s="17"/>
      <c r="B70" s="17" t="s">
        <v>124</v>
      </c>
      <c r="C70" s="17" t="s">
        <v>103</v>
      </c>
      <c r="D70" s="23" t="s">
        <v>168</v>
      </c>
      <c r="E70" s="33">
        <v>1.0</v>
      </c>
      <c r="F70" s="34">
        <v>55000.0</v>
      </c>
      <c r="G70" s="20" t="s">
        <v>224</v>
      </c>
      <c r="H70" s="19">
        <v>600.0</v>
      </c>
      <c r="I70" s="17"/>
      <c r="J70" s="23"/>
      <c r="K70" s="23"/>
      <c r="L70" s="23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>
      <c r="A71" s="17"/>
      <c r="B71" s="17" t="s">
        <v>71</v>
      </c>
      <c r="C71" s="17" t="s">
        <v>168</v>
      </c>
      <c r="D71" s="23" t="s">
        <v>93</v>
      </c>
      <c r="E71" s="33">
        <v>1.0</v>
      </c>
      <c r="F71" s="35"/>
      <c r="G71" s="20" t="s">
        <v>223</v>
      </c>
      <c r="H71" s="19">
        <v>1000.0</v>
      </c>
      <c r="I71" s="17"/>
      <c r="J71" s="23"/>
      <c r="K71" s="23"/>
      <c r="L71" s="23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>
      <c r="A72" s="17"/>
      <c r="B72" s="17" t="s">
        <v>70</v>
      </c>
      <c r="C72" s="17" t="s">
        <v>93</v>
      </c>
      <c r="D72" s="36" t="s">
        <v>12</v>
      </c>
      <c r="E72" s="33">
        <v>0.5</v>
      </c>
      <c r="F72" s="35"/>
      <c r="G72" s="20" t="s">
        <v>223</v>
      </c>
      <c r="H72" s="19">
        <v>1000.0</v>
      </c>
      <c r="I72" s="17"/>
      <c r="J72" s="23"/>
      <c r="K72" s="23"/>
      <c r="L72" s="23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>
      <c r="A73" s="17"/>
      <c r="B73" s="17" t="s">
        <v>193</v>
      </c>
      <c r="C73" s="17" t="s">
        <v>12</v>
      </c>
      <c r="D73" s="36" t="s">
        <v>10</v>
      </c>
      <c r="E73" s="33">
        <v>0.6</v>
      </c>
      <c r="F73" s="35"/>
      <c r="G73" s="20" t="s">
        <v>223</v>
      </c>
      <c r="H73" s="19">
        <v>1000.0</v>
      </c>
      <c r="I73" s="17"/>
      <c r="J73" s="23"/>
      <c r="K73" s="23"/>
      <c r="L73" s="23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>
      <c r="A74" s="17"/>
      <c r="B74" s="17" t="s">
        <v>39</v>
      </c>
      <c r="C74" s="17" t="s">
        <v>10</v>
      </c>
      <c r="D74" s="23" t="s">
        <v>187</v>
      </c>
      <c r="E74" s="33">
        <v>1.0</v>
      </c>
      <c r="F74" s="34">
        <v>15000.0</v>
      </c>
      <c r="G74" s="20" t="s">
        <v>227</v>
      </c>
      <c r="H74" s="19">
        <v>750.0</v>
      </c>
      <c r="I74" s="17"/>
      <c r="J74" s="23"/>
      <c r="K74" s="23"/>
      <c r="L74" s="23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>
      <c r="A75" s="17"/>
      <c r="B75" s="17" t="s">
        <v>65</v>
      </c>
      <c r="C75" s="17" t="s">
        <v>187</v>
      </c>
      <c r="D75" s="23" t="s">
        <v>129</v>
      </c>
      <c r="E75" s="33">
        <v>1.0</v>
      </c>
      <c r="F75" s="34">
        <v>65000.0</v>
      </c>
      <c r="G75" s="20" t="s">
        <v>228</v>
      </c>
      <c r="H75" s="19">
        <v>1000.0</v>
      </c>
      <c r="I75" s="17"/>
      <c r="J75" s="23"/>
      <c r="K75" s="23"/>
      <c r="L75" s="23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>
      <c r="A76" s="17"/>
      <c r="B76" s="17" t="s">
        <v>152</v>
      </c>
      <c r="C76" s="17" t="s">
        <v>129</v>
      </c>
      <c r="D76" s="23" t="s">
        <v>165</v>
      </c>
      <c r="E76" s="33">
        <v>1.0</v>
      </c>
      <c r="F76" s="35"/>
      <c r="G76" s="20" t="s">
        <v>223</v>
      </c>
      <c r="H76" s="19">
        <v>1000.0</v>
      </c>
      <c r="I76" s="17"/>
      <c r="J76" s="23"/>
      <c r="K76" s="23"/>
      <c r="L76" s="23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>
      <c r="A77" s="17"/>
      <c r="B77" s="17" t="s">
        <v>148</v>
      </c>
      <c r="C77" s="17" t="s">
        <v>165</v>
      </c>
      <c r="D77" s="23" t="s">
        <v>167</v>
      </c>
      <c r="E77" s="33">
        <v>1.0</v>
      </c>
      <c r="F77" s="35"/>
      <c r="G77" s="20" t="s">
        <v>224</v>
      </c>
      <c r="H77" s="19">
        <v>133.0</v>
      </c>
      <c r="I77" s="17"/>
      <c r="J77" s="23"/>
      <c r="K77" s="23"/>
      <c r="L77" s="23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>
      <c r="A78" s="17"/>
      <c r="B78" s="17" t="s">
        <v>197</v>
      </c>
      <c r="C78" s="17" t="s">
        <v>167</v>
      </c>
      <c r="D78" s="23" t="s">
        <v>169</v>
      </c>
      <c r="E78" s="33">
        <v>1.0</v>
      </c>
      <c r="F78" s="35"/>
      <c r="G78" s="20" t="s">
        <v>223</v>
      </c>
      <c r="H78" s="19">
        <v>1000.0</v>
      </c>
      <c r="I78" s="17"/>
      <c r="J78" s="23"/>
      <c r="K78" s="23"/>
      <c r="L78" s="23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>
      <c r="A79" s="17"/>
      <c r="B79" s="17" t="s">
        <v>147</v>
      </c>
      <c r="C79" s="17" t="s">
        <v>169</v>
      </c>
      <c r="D79" s="23" t="s">
        <v>175</v>
      </c>
      <c r="E79" s="33">
        <v>1.0</v>
      </c>
      <c r="F79" s="35"/>
      <c r="G79" s="20" t="s">
        <v>224</v>
      </c>
      <c r="H79" s="19">
        <v>1000.0</v>
      </c>
      <c r="I79" s="17"/>
      <c r="J79" s="23"/>
      <c r="K79" s="23"/>
      <c r="L79" s="23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>
      <c r="A80" s="17"/>
      <c r="B80" s="17" t="s">
        <v>202</v>
      </c>
      <c r="C80" s="17" t="s">
        <v>175</v>
      </c>
      <c r="D80" s="23" t="s">
        <v>176</v>
      </c>
      <c r="E80" s="33">
        <v>1.0</v>
      </c>
      <c r="F80" s="35"/>
      <c r="G80" s="20" t="s">
        <v>224</v>
      </c>
      <c r="H80" s="19">
        <v>1000.0</v>
      </c>
      <c r="I80" s="17"/>
      <c r="J80" s="23"/>
      <c r="K80" s="23"/>
      <c r="L80" s="23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>
      <c r="A81" s="17"/>
      <c r="B81" s="17" t="s">
        <v>159</v>
      </c>
      <c r="C81" s="17" t="s">
        <v>176</v>
      </c>
      <c r="D81" s="23" t="s">
        <v>172</v>
      </c>
      <c r="E81" s="33">
        <v>1.0</v>
      </c>
      <c r="F81" s="35"/>
      <c r="G81" s="20" t="s">
        <v>223</v>
      </c>
      <c r="H81" s="19">
        <v>1000.0</v>
      </c>
      <c r="I81" s="17"/>
      <c r="J81" s="23"/>
      <c r="K81" s="23"/>
      <c r="L81" s="23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>
      <c r="A82" s="17"/>
      <c r="B82" s="17" t="s">
        <v>128</v>
      </c>
      <c r="C82" s="17" t="s">
        <v>172</v>
      </c>
      <c r="D82" s="23" t="s">
        <v>85</v>
      </c>
      <c r="E82" s="33">
        <v>0.87</v>
      </c>
      <c r="F82" s="34">
        <v>11000.0</v>
      </c>
      <c r="G82" s="20" t="s">
        <v>223</v>
      </c>
      <c r="H82" s="19">
        <v>1000.0</v>
      </c>
      <c r="I82" s="17"/>
      <c r="J82" s="23"/>
      <c r="K82" s="23"/>
      <c r="L82" s="23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>
      <c r="A83" s="17"/>
      <c r="B83" s="17" t="s">
        <v>75</v>
      </c>
      <c r="C83" s="17" t="s">
        <v>85</v>
      </c>
      <c r="D83" s="23" t="s">
        <v>81</v>
      </c>
      <c r="E83" s="33">
        <v>0.69</v>
      </c>
      <c r="F83" s="34">
        <v>34000.0</v>
      </c>
      <c r="G83" s="20" t="s">
        <v>223</v>
      </c>
      <c r="H83" s="19">
        <v>1000.0</v>
      </c>
      <c r="I83" s="17"/>
      <c r="J83" s="23"/>
      <c r="K83" s="23"/>
      <c r="L83" s="23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>
      <c r="A84" s="17"/>
      <c r="B84" s="17"/>
      <c r="C84" s="17" t="s">
        <v>81</v>
      </c>
      <c r="D84" s="23" t="s">
        <v>124</v>
      </c>
      <c r="E84" s="33">
        <v>1.0</v>
      </c>
      <c r="F84" s="34">
        <v>8500.0</v>
      </c>
      <c r="G84" s="20" t="s">
        <v>125</v>
      </c>
      <c r="H84" s="19">
        <v>1.0</v>
      </c>
      <c r="I84" s="17"/>
      <c r="J84" s="23"/>
      <c r="K84" s="23"/>
      <c r="L84" s="23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>
      <c r="A85" s="17"/>
      <c r="B85" s="17"/>
      <c r="C85" s="17" t="s">
        <v>124</v>
      </c>
      <c r="D85" s="23" t="s">
        <v>71</v>
      </c>
      <c r="E85" s="33">
        <v>1.0</v>
      </c>
      <c r="F85" s="34">
        <v>3200.0</v>
      </c>
      <c r="G85" s="20" t="s">
        <v>226</v>
      </c>
      <c r="H85" s="19">
        <v>1.0</v>
      </c>
      <c r="I85" s="17"/>
      <c r="J85" s="23"/>
      <c r="K85" s="23"/>
      <c r="L85" s="23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>
      <c r="A86" s="17"/>
      <c r="B86" s="17"/>
      <c r="C86" s="17" t="s">
        <v>71</v>
      </c>
      <c r="D86" s="23" t="s">
        <v>70</v>
      </c>
      <c r="E86" s="33">
        <v>1.0</v>
      </c>
      <c r="F86" s="34">
        <v>3300.0</v>
      </c>
      <c r="G86" s="20" t="s">
        <v>226</v>
      </c>
      <c r="H86" s="19">
        <v>1.0</v>
      </c>
      <c r="I86" s="17"/>
      <c r="J86" s="23"/>
      <c r="K86" s="23"/>
      <c r="L86" s="23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>
      <c r="A87" s="17"/>
      <c r="B87" s="17"/>
      <c r="C87" s="17" t="s">
        <v>70</v>
      </c>
      <c r="D87" s="37" t="s">
        <v>60</v>
      </c>
      <c r="E87" s="33">
        <v>1.0</v>
      </c>
      <c r="F87" s="35"/>
      <c r="G87" s="20"/>
      <c r="H87" s="23"/>
      <c r="I87" s="17"/>
      <c r="J87" s="23"/>
      <c r="K87" s="23"/>
      <c r="L87" s="23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>
      <c r="A88" s="17"/>
      <c r="B88" s="17"/>
      <c r="C88" s="17" t="s">
        <v>60</v>
      </c>
      <c r="D88" s="23" t="s">
        <v>39</v>
      </c>
      <c r="E88" s="33">
        <v>0.89</v>
      </c>
      <c r="F88" s="34">
        <v>27000.0</v>
      </c>
      <c r="G88" s="20" t="s">
        <v>223</v>
      </c>
      <c r="H88" s="19">
        <v>1000.0</v>
      </c>
      <c r="I88" s="17"/>
      <c r="J88" s="23"/>
      <c r="K88" s="23"/>
      <c r="L88" s="23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>
      <c r="A89" s="17"/>
      <c r="B89" s="17"/>
      <c r="C89" s="17" t="s">
        <v>193</v>
      </c>
      <c r="D89" s="23" t="s">
        <v>65</v>
      </c>
      <c r="E89" s="33">
        <v>1.0</v>
      </c>
      <c r="F89" s="34">
        <v>9500.0</v>
      </c>
      <c r="G89" s="20" t="s">
        <v>229</v>
      </c>
      <c r="H89" s="19">
        <v>660.0</v>
      </c>
      <c r="I89" s="17"/>
      <c r="J89" s="23"/>
      <c r="K89" s="23"/>
      <c r="L89" s="23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>
      <c r="A90" s="17"/>
      <c r="B90" s="17"/>
      <c r="C90" s="17" t="s">
        <v>39</v>
      </c>
      <c r="D90" s="23" t="s">
        <v>152</v>
      </c>
      <c r="E90" s="33">
        <v>1.0</v>
      </c>
      <c r="F90" s="34">
        <v>9500.0</v>
      </c>
      <c r="G90" s="20" t="s">
        <v>226</v>
      </c>
      <c r="H90" s="19">
        <v>500.0</v>
      </c>
      <c r="I90" s="17"/>
      <c r="J90" s="23"/>
      <c r="K90" s="23"/>
      <c r="L90" s="23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>
      <c r="A91" s="17"/>
      <c r="B91" s="17"/>
      <c r="C91" s="17" t="s">
        <v>65</v>
      </c>
      <c r="D91" s="23" t="s">
        <v>148</v>
      </c>
      <c r="E91" s="33">
        <v>1.0</v>
      </c>
      <c r="F91" s="35"/>
      <c r="G91" s="20" t="s">
        <v>226</v>
      </c>
      <c r="H91" s="19">
        <v>850.0</v>
      </c>
      <c r="I91" s="17"/>
      <c r="J91" s="23"/>
      <c r="K91" s="23"/>
      <c r="L91" s="23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>
      <c r="A92" s="17"/>
      <c r="B92" s="17"/>
      <c r="C92" s="17" t="s">
        <v>152</v>
      </c>
      <c r="D92" s="23" t="s">
        <v>197</v>
      </c>
      <c r="E92" s="33">
        <v>1.0</v>
      </c>
      <c r="F92" s="35"/>
      <c r="G92" s="20" t="s">
        <v>226</v>
      </c>
      <c r="H92" s="19">
        <v>900.0</v>
      </c>
      <c r="I92" s="17"/>
      <c r="J92" s="23"/>
      <c r="K92" s="23"/>
      <c r="L92" s="23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>
      <c r="A93" s="17"/>
      <c r="B93" s="17"/>
      <c r="C93" s="17" t="s">
        <v>148</v>
      </c>
      <c r="D93" s="23" t="s">
        <v>147</v>
      </c>
      <c r="E93" s="33">
        <v>1.0</v>
      </c>
      <c r="F93" s="35"/>
      <c r="G93" s="20" t="s">
        <v>223</v>
      </c>
      <c r="H93" s="19">
        <v>1000.0</v>
      </c>
      <c r="I93" s="17"/>
      <c r="J93" s="23"/>
      <c r="K93" s="23"/>
      <c r="L93" s="23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>
      <c r="A94" s="17"/>
      <c r="B94" s="17"/>
      <c r="C94" s="17" t="s">
        <v>197</v>
      </c>
      <c r="D94" s="23" t="s">
        <v>202</v>
      </c>
      <c r="E94" s="33">
        <v>1.0</v>
      </c>
      <c r="F94" s="35"/>
      <c r="G94" s="20" t="s">
        <v>223</v>
      </c>
      <c r="H94" s="19">
        <v>1000.0</v>
      </c>
      <c r="I94" s="17"/>
      <c r="J94" s="23"/>
      <c r="K94" s="23"/>
      <c r="L94" s="23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>
      <c r="A95" s="17"/>
      <c r="B95" s="17"/>
      <c r="C95" s="17" t="s">
        <v>147</v>
      </c>
      <c r="D95" s="23" t="s">
        <v>159</v>
      </c>
      <c r="E95" s="33">
        <v>1.0</v>
      </c>
      <c r="F95" s="34">
        <v>16000.0</v>
      </c>
      <c r="G95" s="20" t="s">
        <v>223</v>
      </c>
      <c r="H95" s="19">
        <v>1000.0</v>
      </c>
      <c r="I95" s="17"/>
      <c r="J95" s="23"/>
      <c r="K95" s="23"/>
      <c r="L95" s="23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>
      <c r="A96" s="17"/>
      <c r="B96" s="17"/>
      <c r="C96" s="17" t="s">
        <v>202</v>
      </c>
      <c r="D96" s="23" t="s">
        <v>128</v>
      </c>
      <c r="E96" s="33">
        <v>1.0</v>
      </c>
      <c r="F96" s="34">
        <v>58000.0</v>
      </c>
      <c r="G96" s="20" t="s">
        <v>226</v>
      </c>
      <c r="H96" s="19">
        <v>1000.0</v>
      </c>
      <c r="I96" s="17"/>
      <c r="J96" s="23"/>
      <c r="K96" s="23"/>
      <c r="L96" s="23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>
      <c r="A97" s="17"/>
      <c r="B97" s="17"/>
      <c r="C97" s="17" t="s">
        <v>159</v>
      </c>
      <c r="D97" s="23" t="s">
        <v>75</v>
      </c>
      <c r="E97" s="33">
        <v>0.8</v>
      </c>
      <c r="F97" s="34">
        <v>12000.0</v>
      </c>
      <c r="G97" s="20" t="s">
        <v>223</v>
      </c>
      <c r="H97" s="19">
        <v>1000.0</v>
      </c>
      <c r="I97" s="17"/>
      <c r="J97" s="23"/>
      <c r="K97" s="23"/>
      <c r="L97" s="23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>
      <c r="A98" s="17"/>
      <c r="B98" s="17"/>
      <c r="C98" s="17" t="s">
        <v>128</v>
      </c>
      <c r="D98" s="23"/>
      <c r="E98" s="38"/>
      <c r="F98" s="35"/>
      <c r="G98" s="22"/>
      <c r="H98" s="23"/>
      <c r="I98" s="17"/>
      <c r="J98" s="23"/>
      <c r="K98" s="23"/>
      <c r="L98" s="23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>
      <c r="A99" s="17"/>
      <c r="B99" s="17"/>
      <c r="C99" s="17" t="s">
        <v>75</v>
      </c>
      <c r="D99" s="23"/>
      <c r="E99" s="38"/>
      <c r="F99" s="35"/>
      <c r="G99" s="22"/>
      <c r="H99" s="23"/>
      <c r="I99" s="17"/>
      <c r="J99" s="23"/>
      <c r="K99" s="23"/>
      <c r="L99" s="23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>
      <c r="A100" s="17"/>
      <c r="B100" s="17"/>
      <c r="C100" s="17"/>
      <c r="D100" s="23"/>
      <c r="E100" s="38"/>
      <c r="F100" s="35"/>
      <c r="G100" s="22"/>
      <c r="H100" s="23"/>
      <c r="I100" s="17"/>
      <c r="J100" s="23"/>
      <c r="K100" s="23"/>
      <c r="L100" s="23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>
      <c r="A101" s="17"/>
      <c r="B101" s="17"/>
      <c r="C101" s="17"/>
      <c r="D101" s="23"/>
      <c r="E101" s="38"/>
      <c r="F101" s="35"/>
      <c r="G101" s="22"/>
      <c r="H101" s="23"/>
      <c r="I101" s="17"/>
      <c r="J101" s="23"/>
      <c r="K101" s="23"/>
      <c r="L101" s="23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>
      <c r="A102" s="17"/>
      <c r="B102" s="17"/>
      <c r="C102" s="17"/>
      <c r="D102" s="23"/>
      <c r="E102" s="38"/>
      <c r="F102" s="35"/>
      <c r="G102" s="22"/>
      <c r="H102" s="23"/>
      <c r="I102" s="17"/>
      <c r="J102" s="23"/>
      <c r="K102" s="23"/>
      <c r="L102" s="23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>
      <c r="A103" s="17"/>
      <c r="B103" s="17"/>
      <c r="C103" s="17"/>
      <c r="D103" s="23"/>
      <c r="E103" s="38"/>
      <c r="F103" s="35"/>
      <c r="G103" s="22"/>
      <c r="H103" s="23"/>
      <c r="I103" s="17"/>
      <c r="J103" s="23"/>
      <c r="K103" s="23"/>
      <c r="L103" s="23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>
      <c r="A104" s="17"/>
      <c r="B104" s="17"/>
      <c r="C104" s="17"/>
      <c r="D104" s="23"/>
      <c r="E104" s="38"/>
      <c r="F104" s="35"/>
      <c r="G104" s="22"/>
      <c r="H104" s="23"/>
      <c r="I104" s="17"/>
      <c r="J104" s="23"/>
      <c r="K104" s="23"/>
      <c r="L104" s="23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>
      <c r="A105" s="17"/>
      <c r="B105" s="17"/>
      <c r="C105" s="17"/>
      <c r="D105" s="23"/>
      <c r="E105" s="38"/>
      <c r="F105" s="35"/>
      <c r="G105" s="22"/>
      <c r="H105" s="23"/>
      <c r="I105" s="17"/>
      <c r="J105" s="23"/>
      <c r="K105" s="23"/>
      <c r="L105" s="23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>
      <c r="A106" s="17"/>
      <c r="B106" s="17"/>
      <c r="C106" s="17"/>
      <c r="D106" s="23"/>
      <c r="E106" s="38"/>
      <c r="F106" s="35"/>
      <c r="G106" s="22"/>
      <c r="H106" s="23"/>
      <c r="I106" s="17"/>
      <c r="J106" s="23"/>
      <c r="K106" s="23"/>
      <c r="L106" s="23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>
      <c r="A107" s="17"/>
      <c r="B107" s="17"/>
      <c r="C107" s="17"/>
      <c r="D107" s="23"/>
      <c r="E107" s="38"/>
      <c r="F107" s="35"/>
      <c r="G107" s="22"/>
      <c r="H107" s="23"/>
      <c r="I107" s="17"/>
      <c r="J107" s="23"/>
      <c r="K107" s="23"/>
      <c r="L107" s="23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>
      <c r="A108" s="17"/>
      <c r="B108" s="17"/>
      <c r="C108" s="17"/>
      <c r="D108" s="23"/>
      <c r="E108" s="38"/>
      <c r="F108" s="35"/>
      <c r="G108" s="22"/>
      <c r="H108" s="23"/>
      <c r="I108" s="17"/>
      <c r="J108" s="23"/>
      <c r="K108" s="23"/>
      <c r="L108" s="23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>
      <c r="A109" s="17"/>
      <c r="B109" s="17"/>
      <c r="C109" s="17"/>
      <c r="D109" s="23"/>
      <c r="E109" s="38"/>
      <c r="F109" s="35"/>
      <c r="G109" s="22"/>
      <c r="H109" s="23"/>
      <c r="I109" s="17"/>
      <c r="J109" s="23"/>
      <c r="K109" s="23"/>
      <c r="L109" s="23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>
      <c r="A110" s="17"/>
      <c r="B110" s="17"/>
      <c r="C110" s="17"/>
      <c r="D110" s="23"/>
      <c r="E110" s="38"/>
      <c r="F110" s="35"/>
      <c r="G110" s="22"/>
      <c r="H110" s="23"/>
      <c r="I110" s="17"/>
      <c r="J110" s="23"/>
      <c r="K110" s="23"/>
      <c r="L110" s="23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>
      <c r="A111" s="17"/>
      <c r="B111" s="17"/>
      <c r="C111" s="17"/>
      <c r="D111" s="23"/>
      <c r="E111" s="38"/>
      <c r="F111" s="35"/>
      <c r="G111" s="22"/>
      <c r="H111" s="23"/>
      <c r="I111" s="17"/>
      <c r="J111" s="23"/>
      <c r="K111" s="23"/>
      <c r="L111" s="23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>
      <c r="A112" s="17"/>
      <c r="B112" s="17"/>
      <c r="C112" s="17"/>
      <c r="D112" s="23"/>
      <c r="E112" s="38"/>
      <c r="F112" s="35"/>
      <c r="G112" s="22"/>
      <c r="H112" s="23"/>
      <c r="I112" s="17"/>
      <c r="J112" s="23"/>
      <c r="K112" s="23"/>
      <c r="L112" s="23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>
      <c r="A113" s="17"/>
      <c r="B113" s="17"/>
      <c r="C113" s="17"/>
      <c r="D113" s="23"/>
      <c r="E113" s="38"/>
      <c r="F113" s="35"/>
      <c r="G113" s="22"/>
      <c r="H113" s="23"/>
      <c r="I113" s="17"/>
      <c r="J113" s="23"/>
      <c r="K113" s="23"/>
      <c r="L113" s="23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>
      <c r="A114" s="17"/>
      <c r="B114" s="17"/>
      <c r="C114" s="17"/>
      <c r="D114" s="23"/>
      <c r="E114" s="38"/>
      <c r="F114" s="35"/>
      <c r="G114" s="22"/>
      <c r="H114" s="23"/>
      <c r="I114" s="17"/>
      <c r="J114" s="23"/>
      <c r="K114" s="23"/>
      <c r="L114" s="23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>
      <c r="A115" s="17"/>
      <c r="B115" s="17"/>
      <c r="C115" s="17"/>
      <c r="D115" s="23"/>
      <c r="E115" s="38"/>
      <c r="F115" s="35"/>
      <c r="G115" s="22"/>
      <c r="H115" s="23"/>
      <c r="I115" s="17"/>
      <c r="J115" s="23"/>
      <c r="K115" s="23"/>
      <c r="L115" s="23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>
      <c r="A116" s="17"/>
      <c r="B116" s="17"/>
      <c r="C116" s="17"/>
      <c r="D116" s="23"/>
      <c r="E116" s="38"/>
      <c r="F116" s="35"/>
      <c r="G116" s="22"/>
      <c r="H116" s="23"/>
      <c r="I116" s="17"/>
      <c r="J116" s="23"/>
      <c r="K116" s="23"/>
      <c r="L116" s="23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>
      <c r="A117" s="17"/>
      <c r="B117" s="17"/>
      <c r="C117" s="17"/>
      <c r="D117" s="23"/>
      <c r="E117" s="38"/>
      <c r="F117" s="35"/>
      <c r="G117" s="22"/>
      <c r="H117" s="23"/>
      <c r="I117" s="17"/>
      <c r="J117" s="23"/>
      <c r="K117" s="23"/>
      <c r="L117" s="23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>
      <c r="A118" s="17"/>
      <c r="B118" s="17"/>
      <c r="C118" s="17"/>
      <c r="D118" s="23"/>
      <c r="E118" s="38"/>
      <c r="F118" s="35"/>
      <c r="G118" s="22"/>
      <c r="H118" s="23"/>
      <c r="I118" s="17"/>
      <c r="J118" s="23"/>
      <c r="K118" s="23"/>
      <c r="L118" s="23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>
      <c r="A119" s="17"/>
      <c r="B119" s="17"/>
      <c r="C119" s="17"/>
      <c r="D119" s="23"/>
      <c r="E119" s="38"/>
      <c r="F119" s="35"/>
      <c r="G119" s="22"/>
      <c r="H119" s="23"/>
      <c r="I119" s="17"/>
      <c r="J119" s="23"/>
      <c r="K119" s="23"/>
      <c r="L119" s="23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>
      <c r="A120" s="17"/>
      <c r="B120" s="17"/>
      <c r="C120" s="17"/>
      <c r="D120" s="23"/>
      <c r="E120" s="38"/>
      <c r="F120" s="35"/>
      <c r="G120" s="22"/>
      <c r="H120" s="23"/>
      <c r="I120" s="17"/>
      <c r="J120" s="23"/>
      <c r="K120" s="23"/>
      <c r="L120" s="23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>
      <c r="A121" s="17"/>
      <c r="B121" s="17"/>
      <c r="C121" s="17"/>
      <c r="D121" s="23"/>
      <c r="E121" s="38"/>
      <c r="F121" s="35"/>
      <c r="G121" s="22"/>
      <c r="H121" s="23"/>
      <c r="I121" s="17"/>
      <c r="J121" s="23"/>
      <c r="K121" s="23"/>
      <c r="L121" s="23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>
      <c r="A122" s="17"/>
      <c r="B122" s="17"/>
      <c r="C122" s="17"/>
      <c r="D122" s="23"/>
      <c r="E122" s="38"/>
      <c r="F122" s="35"/>
      <c r="G122" s="22"/>
      <c r="H122" s="23"/>
      <c r="I122" s="17"/>
      <c r="J122" s="23"/>
      <c r="K122" s="23"/>
      <c r="L122" s="23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>
      <c r="A123" s="17"/>
      <c r="B123" s="17"/>
      <c r="C123" s="17"/>
      <c r="D123" s="23"/>
      <c r="E123" s="38"/>
      <c r="F123" s="35"/>
      <c r="G123" s="22"/>
      <c r="H123" s="23"/>
      <c r="I123" s="17"/>
      <c r="J123" s="23"/>
      <c r="K123" s="23"/>
      <c r="L123" s="23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>
      <c r="A124" s="17"/>
      <c r="B124" s="17"/>
      <c r="C124" s="17"/>
      <c r="D124" s="23"/>
      <c r="E124" s="38"/>
      <c r="F124" s="35"/>
      <c r="G124" s="22"/>
      <c r="H124" s="23"/>
      <c r="I124" s="17"/>
      <c r="J124" s="23"/>
      <c r="K124" s="23"/>
      <c r="L124" s="23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>
      <c r="A125" s="17"/>
      <c r="B125" s="17"/>
      <c r="C125" s="17"/>
      <c r="D125" s="23"/>
      <c r="E125" s="38"/>
      <c r="F125" s="35"/>
      <c r="G125" s="22"/>
      <c r="H125" s="23"/>
      <c r="I125" s="17"/>
      <c r="J125" s="23"/>
      <c r="K125" s="23"/>
      <c r="L125" s="23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>
      <c r="A126" s="17"/>
      <c r="B126" s="17"/>
      <c r="C126" s="17"/>
      <c r="D126" s="23"/>
      <c r="E126" s="38"/>
      <c r="F126" s="35"/>
      <c r="G126" s="22"/>
      <c r="H126" s="23"/>
      <c r="I126" s="17"/>
      <c r="J126" s="23"/>
      <c r="K126" s="23"/>
      <c r="L126" s="23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>
      <c r="A127" s="17"/>
      <c r="B127" s="17"/>
      <c r="C127" s="17"/>
      <c r="D127" s="23"/>
      <c r="E127" s="38"/>
      <c r="F127" s="35"/>
      <c r="G127" s="22"/>
      <c r="H127" s="23"/>
      <c r="I127" s="17"/>
      <c r="J127" s="23"/>
      <c r="K127" s="23"/>
      <c r="L127" s="23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>
      <c r="A128" s="17"/>
      <c r="B128" s="17"/>
      <c r="C128" s="17"/>
      <c r="D128" s="23"/>
      <c r="E128" s="38"/>
      <c r="F128" s="35"/>
      <c r="G128" s="22"/>
      <c r="H128" s="23"/>
      <c r="I128" s="17"/>
      <c r="J128" s="23"/>
      <c r="K128" s="23"/>
      <c r="L128" s="23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>
      <c r="A129" s="17"/>
      <c r="B129" s="17"/>
      <c r="C129" s="17"/>
      <c r="D129" s="23"/>
      <c r="E129" s="38"/>
      <c r="F129" s="35"/>
      <c r="G129" s="22"/>
      <c r="H129" s="23"/>
      <c r="I129" s="17"/>
      <c r="J129" s="23"/>
      <c r="K129" s="23"/>
      <c r="L129" s="23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>
      <c r="A130" s="17"/>
      <c r="B130" s="17"/>
      <c r="C130" s="17"/>
      <c r="D130" s="23"/>
      <c r="E130" s="38"/>
      <c r="F130" s="35"/>
      <c r="G130" s="22"/>
      <c r="H130" s="23"/>
      <c r="I130" s="17"/>
      <c r="J130" s="23"/>
      <c r="K130" s="23"/>
      <c r="L130" s="23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>
      <c r="A131" s="17"/>
      <c r="B131" s="17"/>
      <c r="C131" s="17"/>
      <c r="D131" s="23"/>
      <c r="E131" s="38"/>
      <c r="F131" s="35"/>
      <c r="G131" s="22"/>
      <c r="H131" s="23"/>
      <c r="I131" s="17"/>
      <c r="J131" s="23"/>
      <c r="K131" s="23"/>
      <c r="L131" s="23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>
      <c r="A132" s="17"/>
      <c r="B132" s="17"/>
      <c r="C132" s="17"/>
      <c r="D132" s="23"/>
      <c r="E132" s="38"/>
      <c r="F132" s="35"/>
      <c r="G132" s="22"/>
      <c r="H132" s="23"/>
      <c r="I132" s="17"/>
      <c r="J132" s="23"/>
      <c r="K132" s="23"/>
      <c r="L132" s="23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>
      <c r="A133" s="17"/>
      <c r="B133" s="17"/>
      <c r="C133" s="17"/>
      <c r="D133" s="23"/>
      <c r="E133" s="38"/>
      <c r="F133" s="35"/>
      <c r="G133" s="22"/>
      <c r="H133" s="23"/>
      <c r="I133" s="17"/>
      <c r="J133" s="23"/>
      <c r="K133" s="23"/>
      <c r="L133" s="23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>
      <c r="A134" s="17"/>
      <c r="B134" s="17"/>
      <c r="C134" s="17"/>
      <c r="D134" s="23"/>
      <c r="E134" s="38"/>
      <c r="F134" s="35"/>
      <c r="G134" s="22"/>
      <c r="H134" s="23"/>
      <c r="I134" s="17"/>
      <c r="J134" s="23"/>
      <c r="K134" s="23"/>
      <c r="L134" s="23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>
      <c r="A135" s="17"/>
      <c r="B135" s="17"/>
      <c r="C135" s="17"/>
      <c r="D135" s="23"/>
      <c r="E135" s="38"/>
      <c r="F135" s="35"/>
      <c r="G135" s="22"/>
      <c r="H135" s="23"/>
      <c r="I135" s="17"/>
      <c r="J135" s="23"/>
      <c r="K135" s="23"/>
      <c r="L135" s="23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>
      <c r="A136" s="17"/>
      <c r="B136" s="17"/>
      <c r="C136" s="17"/>
      <c r="D136" s="23"/>
      <c r="E136" s="38"/>
      <c r="F136" s="35"/>
      <c r="G136" s="22"/>
      <c r="H136" s="23"/>
      <c r="I136" s="17"/>
      <c r="J136" s="23"/>
      <c r="K136" s="23"/>
      <c r="L136" s="23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>
      <c r="A137" s="17"/>
      <c r="B137" s="17"/>
      <c r="C137" s="17"/>
      <c r="D137" s="23"/>
      <c r="E137" s="38"/>
      <c r="F137" s="35"/>
      <c r="G137" s="22"/>
      <c r="H137" s="23"/>
      <c r="I137" s="17"/>
      <c r="J137" s="23"/>
      <c r="K137" s="23"/>
      <c r="L137" s="23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>
      <c r="A138" s="17"/>
      <c r="B138" s="17"/>
      <c r="C138" s="17"/>
      <c r="D138" s="23"/>
      <c r="E138" s="38"/>
      <c r="F138" s="35"/>
      <c r="G138" s="22"/>
      <c r="H138" s="23"/>
      <c r="I138" s="17"/>
      <c r="J138" s="23"/>
      <c r="K138" s="23"/>
      <c r="L138" s="23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>
      <c r="A139" s="17"/>
      <c r="B139" s="17"/>
      <c r="C139" s="17"/>
      <c r="D139" s="23"/>
      <c r="E139" s="38"/>
      <c r="F139" s="35"/>
      <c r="G139" s="22"/>
      <c r="H139" s="23"/>
      <c r="I139" s="17"/>
      <c r="J139" s="23"/>
      <c r="K139" s="23"/>
      <c r="L139" s="23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>
      <c r="A140" s="17"/>
      <c r="B140" s="17"/>
      <c r="C140" s="17"/>
      <c r="D140" s="23"/>
      <c r="E140" s="38"/>
      <c r="F140" s="35"/>
      <c r="G140" s="22"/>
      <c r="H140" s="23"/>
      <c r="I140" s="17"/>
      <c r="J140" s="23"/>
      <c r="K140" s="23"/>
      <c r="L140" s="23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>
      <c r="A141" s="17"/>
      <c r="B141" s="17"/>
      <c r="C141" s="17"/>
      <c r="D141" s="23"/>
      <c r="E141" s="38"/>
      <c r="F141" s="35"/>
      <c r="G141" s="22"/>
      <c r="H141" s="23"/>
      <c r="I141" s="17"/>
      <c r="J141" s="23"/>
      <c r="K141" s="23"/>
      <c r="L141" s="23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>
      <c r="A142" s="17"/>
      <c r="B142" s="17"/>
      <c r="C142" s="17"/>
      <c r="D142" s="23"/>
      <c r="E142" s="38"/>
      <c r="F142" s="35"/>
      <c r="G142" s="22"/>
      <c r="H142" s="23"/>
      <c r="I142" s="17"/>
      <c r="J142" s="23"/>
      <c r="K142" s="23"/>
      <c r="L142" s="23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>
      <c r="A143" s="17"/>
      <c r="B143" s="17"/>
      <c r="C143" s="17"/>
      <c r="D143" s="23"/>
      <c r="E143" s="38"/>
      <c r="F143" s="35"/>
      <c r="G143" s="22"/>
      <c r="H143" s="23"/>
      <c r="I143" s="17"/>
      <c r="J143" s="23"/>
      <c r="K143" s="23"/>
      <c r="L143" s="23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>
      <c r="A144" s="17"/>
      <c r="B144" s="17"/>
      <c r="C144" s="17"/>
      <c r="D144" s="23"/>
      <c r="E144" s="38"/>
      <c r="F144" s="35"/>
      <c r="G144" s="22"/>
      <c r="H144" s="23"/>
      <c r="I144" s="17"/>
      <c r="J144" s="23"/>
      <c r="K144" s="23"/>
      <c r="L144" s="23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>
      <c r="A145" s="17"/>
      <c r="B145" s="17"/>
      <c r="C145" s="17"/>
      <c r="D145" s="23"/>
      <c r="E145" s="38"/>
      <c r="F145" s="35"/>
      <c r="G145" s="22"/>
      <c r="H145" s="23"/>
      <c r="I145" s="17"/>
      <c r="J145" s="23"/>
      <c r="K145" s="23"/>
      <c r="L145" s="23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>
      <c r="A146" s="17"/>
      <c r="B146" s="17"/>
      <c r="C146" s="17"/>
      <c r="D146" s="23"/>
      <c r="E146" s="38"/>
      <c r="F146" s="35"/>
      <c r="G146" s="22"/>
      <c r="H146" s="23"/>
      <c r="I146" s="17"/>
      <c r="J146" s="23"/>
      <c r="K146" s="23"/>
      <c r="L146" s="23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>
      <c r="A147" s="17"/>
      <c r="B147" s="17"/>
      <c r="C147" s="17"/>
      <c r="D147" s="23"/>
      <c r="E147" s="38"/>
      <c r="F147" s="35"/>
      <c r="G147" s="22"/>
      <c r="H147" s="23"/>
      <c r="I147" s="17"/>
      <c r="J147" s="23"/>
      <c r="K147" s="23"/>
      <c r="L147" s="23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>
      <c r="A148" s="17"/>
      <c r="B148" s="17"/>
      <c r="C148" s="17"/>
      <c r="D148" s="23"/>
      <c r="E148" s="38"/>
      <c r="F148" s="35"/>
      <c r="G148" s="22"/>
      <c r="H148" s="23"/>
      <c r="I148" s="17"/>
      <c r="J148" s="23"/>
      <c r="K148" s="23"/>
      <c r="L148" s="23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>
      <c r="A149" s="17"/>
      <c r="B149" s="17"/>
      <c r="C149" s="17"/>
      <c r="D149" s="23"/>
      <c r="E149" s="38"/>
      <c r="F149" s="35"/>
      <c r="G149" s="22"/>
      <c r="H149" s="23"/>
      <c r="I149" s="17"/>
      <c r="J149" s="23"/>
      <c r="K149" s="23"/>
      <c r="L149" s="23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>
      <c r="A150" s="17"/>
      <c r="B150" s="17"/>
      <c r="C150" s="17"/>
      <c r="D150" s="23"/>
      <c r="E150" s="38"/>
      <c r="F150" s="35"/>
      <c r="G150" s="22"/>
      <c r="H150" s="23"/>
      <c r="I150" s="17"/>
      <c r="J150" s="23"/>
      <c r="K150" s="23"/>
      <c r="L150" s="23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>
      <c r="A151" s="17"/>
      <c r="B151" s="17"/>
      <c r="C151" s="17"/>
      <c r="D151" s="23"/>
      <c r="E151" s="38"/>
      <c r="F151" s="35"/>
      <c r="G151" s="22"/>
      <c r="H151" s="23"/>
      <c r="I151" s="17"/>
      <c r="J151" s="23"/>
      <c r="K151" s="23"/>
      <c r="L151" s="23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>
      <c r="A152" s="17"/>
      <c r="B152" s="17"/>
      <c r="C152" s="17"/>
      <c r="D152" s="23"/>
      <c r="E152" s="38"/>
      <c r="F152" s="35"/>
      <c r="G152" s="22"/>
      <c r="H152" s="23"/>
      <c r="I152" s="17"/>
      <c r="J152" s="23"/>
      <c r="K152" s="23"/>
      <c r="L152" s="23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>
      <c r="A153" s="17"/>
      <c r="B153" s="17"/>
      <c r="C153" s="17"/>
      <c r="D153" s="23"/>
      <c r="E153" s="38"/>
      <c r="F153" s="35"/>
      <c r="G153" s="22"/>
      <c r="H153" s="23"/>
      <c r="I153" s="17"/>
      <c r="J153" s="23"/>
      <c r="K153" s="23"/>
      <c r="L153" s="23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>
      <c r="A154" s="17"/>
      <c r="B154" s="17"/>
      <c r="C154" s="17"/>
      <c r="D154" s="23"/>
      <c r="E154" s="38"/>
      <c r="F154" s="35"/>
      <c r="G154" s="22"/>
      <c r="H154" s="23"/>
      <c r="I154" s="17"/>
      <c r="J154" s="23"/>
      <c r="K154" s="23"/>
      <c r="L154" s="23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>
      <c r="A155" s="17"/>
      <c r="B155" s="17"/>
      <c r="C155" s="17"/>
      <c r="D155" s="23"/>
      <c r="E155" s="38"/>
      <c r="F155" s="35"/>
      <c r="G155" s="22"/>
      <c r="H155" s="23"/>
      <c r="I155" s="17"/>
      <c r="J155" s="23"/>
      <c r="K155" s="23"/>
      <c r="L155" s="23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>
      <c r="A156" s="17"/>
      <c r="B156" s="17"/>
      <c r="C156" s="17"/>
      <c r="D156" s="23"/>
      <c r="E156" s="38"/>
      <c r="F156" s="35"/>
      <c r="G156" s="22"/>
      <c r="H156" s="23"/>
      <c r="I156" s="17"/>
      <c r="J156" s="23"/>
      <c r="K156" s="23"/>
      <c r="L156" s="23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>
      <c r="A157" s="17"/>
      <c r="B157" s="17"/>
      <c r="C157" s="17"/>
      <c r="D157" s="23"/>
      <c r="E157" s="38"/>
      <c r="F157" s="35"/>
      <c r="G157" s="22"/>
      <c r="H157" s="23"/>
      <c r="I157" s="17"/>
      <c r="J157" s="23"/>
      <c r="K157" s="23"/>
      <c r="L157" s="23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>
      <c r="A158" s="17"/>
      <c r="B158" s="17"/>
      <c r="C158" s="17"/>
      <c r="D158" s="23"/>
      <c r="E158" s="38"/>
      <c r="F158" s="35"/>
      <c r="G158" s="22"/>
      <c r="H158" s="23"/>
      <c r="I158" s="17"/>
      <c r="J158" s="23"/>
      <c r="K158" s="23"/>
      <c r="L158" s="23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>
      <c r="A159" s="17"/>
      <c r="B159" s="17"/>
      <c r="C159" s="17"/>
      <c r="D159" s="23"/>
      <c r="E159" s="38"/>
      <c r="F159" s="35"/>
      <c r="G159" s="22"/>
      <c r="H159" s="23"/>
      <c r="I159" s="17"/>
      <c r="J159" s="23"/>
      <c r="K159" s="23"/>
      <c r="L159" s="23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>
      <c r="A160" s="17"/>
      <c r="B160" s="17"/>
      <c r="C160" s="17"/>
      <c r="D160" s="23"/>
      <c r="E160" s="38"/>
      <c r="F160" s="35"/>
      <c r="G160" s="22"/>
      <c r="H160" s="23"/>
      <c r="I160" s="17"/>
      <c r="J160" s="23"/>
      <c r="K160" s="23"/>
      <c r="L160" s="23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>
      <c r="A161" s="17"/>
      <c r="B161" s="17"/>
      <c r="C161" s="17"/>
      <c r="D161" s="23"/>
      <c r="E161" s="38"/>
      <c r="F161" s="35"/>
      <c r="G161" s="22"/>
      <c r="H161" s="23"/>
      <c r="I161" s="17"/>
      <c r="J161" s="23"/>
      <c r="K161" s="23"/>
      <c r="L161" s="23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>
      <c r="A162" s="17"/>
      <c r="B162" s="17"/>
      <c r="C162" s="17"/>
      <c r="D162" s="23"/>
      <c r="E162" s="38"/>
      <c r="F162" s="35"/>
      <c r="G162" s="22"/>
      <c r="H162" s="23"/>
      <c r="I162" s="17"/>
      <c r="J162" s="23"/>
      <c r="K162" s="23"/>
      <c r="L162" s="23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>
      <c r="A163" s="17"/>
      <c r="B163" s="17"/>
      <c r="C163" s="17"/>
      <c r="D163" s="23"/>
      <c r="E163" s="38"/>
      <c r="F163" s="35"/>
      <c r="G163" s="22"/>
      <c r="H163" s="23"/>
      <c r="I163" s="17"/>
      <c r="J163" s="23"/>
      <c r="K163" s="23"/>
      <c r="L163" s="23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>
      <c r="A164" s="17"/>
      <c r="B164" s="17"/>
      <c r="C164" s="17"/>
      <c r="D164" s="23"/>
      <c r="E164" s="38"/>
      <c r="F164" s="35"/>
      <c r="G164" s="22"/>
      <c r="H164" s="23"/>
      <c r="I164" s="17"/>
      <c r="J164" s="23"/>
      <c r="K164" s="23"/>
      <c r="L164" s="23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>
      <c r="A165" s="17"/>
      <c r="B165" s="17"/>
      <c r="C165" s="17"/>
      <c r="D165" s="23"/>
      <c r="E165" s="38"/>
      <c r="F165" s="35"/>
      <c r="G165" s="22"/>
      <c r="H165" s="23"/>
      <c r="I165" s="17"/>
      <c r="J165" s="23"/>
      <c r="K165" s="23"/>
      <c r="L165" s="23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>
      <c r="A166" s="17"/>
      <c r="B166" s="17"/>
      <c r="C166" s="17"/>
      <c r="D166" s="23"/>
      <c r="E166" s="38"/>
      <c r="F166" s="35"/>
      <c r="G166" s="22"/>
      <c r="H166" s="23"/>
      <c r="I166" s="17"/>
      <c r="J166" s="23"/>
      <c r="K166" s="23"/>
      <c r="L166" s="23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>
      <c r="A167" s="17"/>
      <c r="B167" s="17"/>
      <c r="C167" s="17"/>
      <c r="D167" s="23"/>
      <c r="E167" s="38"/>
      <c r="F167" s="35"/>
      <c r="G167" s="22"/>
      <c r="H167" s="23"/>
      <c r="I167" s="17"/>
      <c r="J167" s="23"/>
      <c r="K167" s="23"/>
      <c r="L167" s="23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>
      <c r="A168" s="17"/>
      <c r="B168" s="17"/>
      <c r="C168" s="17"/>
      <c r="D168" s="23"/>
      <c r="E168" s="38"/>
      <c r="F168" s="35"/>
      <c r="G168" s="22"/>
      <c r="H168" s="23"/>
      <c r="I168" s="17"/>
      <c r="J168" s="23"/>
      <c r="K168" s="23"/>
      <c r="L168" s="23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>
      <c r="A169" s="17"/>
      <c r="B169" s="17"/>
      <c r="C169" s="17"/>
      <c r="D169" s="23"/>
      <c r="E169" s="38"/>
      <c r="F169" s="35"/>
      <c r="G169" s="22"/>
      <c r="H169" s="23"/>
      <c r="I169" s="17"/>
      <c r="J169" s="23"/>
      <c r="K169" s="23"/>
      <c r="L169" s="23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>
      <c r="A170" s="17"/>
      <c r="B170" s="17"/>
      <c r="C170" s="17"/>
      <c r="D170" s="23"/>
      <c r="E170" s="38"/>
      <c r="F170" s="35"/>
      <c r="G170" s="22"/>
      <c r="H170" s="23"/>
      <c r="I170" s="17"/>
      <c r="J170" s="23"/>
      <c r="K170" s="23"/>
      <c r="L170" s="23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>
      <c r="A171" s="17"/>
      <c r="B171" s="17"/>
      <c r="C171" s="17"/>
      <c r="D171" s="23"/>
      <c r="E171" s="38"/>
      <c r="F171" s="35"/>
      <c r="G171" s="22"/>
      <c r="H171" s="23"/>
      <c r="I171" s="17"/>
      <c r="J171" s="23"/>
      <c r="K171" s="23"/>
      <c r="L171" s="23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>
      <c r="A172" s="17"/>
      <c r="B172" s="17"/>
      <c r="C172" s="17"/>
      <c r="D172" s="23"/>
      <c r="E172" s="38"/>
      <c r="F172" s="35"/>
      <c r="G172" s="22"/>
      <c r="H172" s="23"/>
      <c r="I172" s="17"/>
      <c r="J172" s="23"/>
      <c r="K172" s="23"/>
      <c r="L172" s="23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>
      <c r="A173" s="17"/>
      <c r="B173" s="17"/>
      <c r="C173" s="17"/>
      <c r="D173" s="23"/>
      <c r="E173" s="38"/>
      <c r="F173" s="35"/>
      <c r="G173" s="22"/>
      <c r="H173" s="23"/>
      <c r="I173" s="17"/>
      <c r="J173" s="23"/>
      <c r="K173" s="23"/>
      <c r="L173" s="23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>
      <c r="A174" s="17"/>
      <c r="B174" s="17"/>
      <c r="C174" s="17"/>
      <c r="D174" s="23"/>
      <c r="E174" s="38"/>
      <c r="F174" s="35"/>
      <c r="G174" s="22"/>
      <c r="H174" s="23"/>
      <c r="I174" s="17"/>
      <c r="J174" s="23"/>
      <c r="K174" s="23"/>
      <c r="L174" s="23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>
      <c r="A175" s="17"/>
      <c r="B175" s="17"/>
      <c r="C175" s="17"/>
      <c r="D175" s="23"/>
      <c r="E175" s="38"/>
      <c r="F175" s="35"/>
      <c r="G175" s="22"/>
      <c r="H175" s="23"/>
      <c r="I175" s="17"/>
      <c r="J175" s="23"/>
      <c r="K175" s="23"/>
      <c r="L175" s="23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>
      <c r="A176" s="17"/>
      <c r="B176" s="17"/>
      <c r="C176" s="17"/>
      <c r="D176" s="23"/>
      <c r="E176" s="38"/>
      <c r="F176" s="35"/>
      <c r="G176" s="22"/>
      <c r="H176" s="23"/>
      <c r="I176" s="17"/>
      <c r="J176" s="23"/>
      <c r="K176" s="23"/>
      <c r="L176" s="23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>
      <c r="A177" s="17"/>
      <c r="B177" s="17"/>
      <c r="C177" s="17"/>
      <c r="D177" s="23"/>
      <c r="E177" s="38"/>
      <c r="F177" s="35"/>
      <c r="G177" s="22"/>
      <c r="H177" s="23"/>
      <c r="I177" s="17"/>
      <c r="J177" s="23"/>
      <c r="K177" s="23"/>
      <c r="L177" s="23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>
      <c r="A178" s="17"/>
      <c r="B178" s="17"/>
      <c r="C178" s="17"/>
      <c r="D178" s="23"/>
      <c r="E178" s="38"/>
      <c r="F178" s="35"/>
      <c r="G178" s="22"/>
      <c r="H178" s="23"/>
      <c r="I178" s="17"/>
      <c r="J178" s="23"/>
      <c r="K178" s="23"/>
      <c r="L178" s="23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</row>
    <row r="179">
      <c r="A179" s="17"/>
      <c r="B179" s="17"/>
      <c r="C179" s="17"/>
      <c r="D179" s="23"/>
      <c r="E179" s="38"/>
      <c r="F179" s="35"/>
      <c r="G179" s="22"/>
      <c r="H179" s="23"/>
      <c r="I179" s="17"/>
      <c r="J179" s="23"/>
      <c r="K179" s="23"/>
      <c r="L179" s="23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</row>
    <row r="180">
      <c r="A180" s="17"/>
      <c r="B180" s="17"/>
      <c r="C180" s="17"/>
      <c r="D180" s="23"/>
      <c r="E180" s="38"/>
      <c r="F180" s="35"/>
      <c r="G180" s="22"/>
      <c r="H180" s="23"/>
      <c r="I180" s="17"/>
      <c r="J180" s="23"/>
      <c r="K180" s="23"/>
      <c r="L180" s="23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</row>
    <row r="181">
      <c r="A181" s="17"/>
      <c r="B181" s="17"/>
      <c r="C181" s="17"/>
      <c r="D181" s="23"/>
      <c r="E181" s="38"/>
      <c r="F181" s="35"/>
      <c r="G181" s="22"/>
      <c r="H181" s="23"/>
      <c r="I181" s="17"/>
      <c r="J181" s="23"/>
      <c r="K181" s="23"/>
      <c r="L181" s="23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>
      <c r="A182" s="17"/>
      <c r="B182" s="17"/>
      <c r="C182" s="17"/>
      <c r="D182" s="23"/>
      <c r="E182" s="38"/>
      <c r="F182" s="35"/>
      <c r="G182" s="22"/>
      <c r="H182" s="23"/>
      <c r="I182" s="17"/>
      <c r="J182" s="23"/>
      <c r="K182" s="23"/>
      <c r="L182" s="23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>
      <c r="A183" s="17"/>
      <c r="B183" s="17"/>
      <c r="C183" s="17"/>
      <c r="D183" s="23"/>
      <c r="E183" s="38"/>
      <c r="F183" s="35"/>
      <c r="G183" s="22"/>
      <c r="H183" s="23"/>
      <c r="I183" s="17"/>
      <c r="J183" s="23"/>
      <c r="K183" s="23"/>
      <c r="L183" s="23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>
      <c r="A184" s="17"/>
      <c r="B184" s="17"/>
      <c r="C184" s="17"/>
      <c r="D184" s="23"/>
      <c r="E184" s="38"/>
      <c r="F184" s="35"/>
      <c r="G184" s="22"/>
      <c r="H184" s="23"/>
      <c r="I184" s="17"/>
      <c r="J184" s="23"/>
      <c r="K184" s="23"/>
      <c r="L184" s="23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>
      <c r="A185" s="17"/>
      <c r="B185" s="17"/>
      <c r="C185" s="17"/>
      <c r="D185" s="23"/>
      <c r="E185" s="38"/>
      <c r="F185" s="35"/>
      <c r="G185" s="22"/>
      <c r="H185" s="23"/>
      <c r="I185" s="17"/>
      <c r="J185" s="23"/>
      <c r="K185" s="23"/>
      <c r="L185" s="23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</row>
    <row r="186">
      <c r="A186" s="17"/>
      <c r="B186" s="17"/>
      <c r="C186" s="17"/>
      <c r="D186" s="23"/>
      <c r="E186" s="38"/>
      <c r="F186" s="35"/>
      <c r="G186" s="22"/>
      <c r="H186" s="23"/>
      <c r="I186" s="17"/>
      <c r="J186" s="23"/>
      <c r="K186" s="23"/>
      <c r="L186" s="23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>
      <c r="A187" s="17"/>
      <c r="B187" s="17"/>
      <c r="C187" s="17"/>
      <c r="D187" s="23"/>
      <c r="E187" s="38"/>
      <c r="F187" s="35"/>
      <c r="G187" s="22"/>
      <c r="H187" s="23"/>
      <c r="I187" s="17"/>
      <c r="J187" s="23"/>
      <c r="K187" s="23"/>
      <c r="L187" s="23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</row>
    <row r="188">
      <c r="A188" s="17"/>
      <c r="B188" s="17"/>
      <c r="C188" s="17"/>
      <c r="D188" s="23"/>
      <c r="E188" s="38"/>
      <c r="F188" s="35"/>
      <c r="G188" s="22"/>
      <c r="H188" s="23"/>
      <c r="I188" s="17"/>
      <c r="J188" s="23"/>
      <c r="K188" s="23"/>
      <c r="L188" s="23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>
      <c r="A189" s="17"/>
      <c r="B189" s="17"/>
      <c r="C189" s="17"/>
      <c r="D189" s="23"/>
      <c r="E189" s="38"/>
      <c r="F189" s="35"/>
      <c r="G189" s="22"/>
      <c r="H189" s="23"/>
      <c r="I189" s="17"/>
      <c r="J189" s="23"/>
      <c r="K189" s="23"/>
      <c r="L189" s="23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>
      <c r="A190" s="17"/>
      <c r="B190" s="17"/>
      <c r="C190" s="17"/>
      <c r="D190" s="23"/>
      <c r="E190" s="38"/>
      <c r="F190" s="35"/>
      <c r="G190" s="22"/>
      <c r="H190" s="23"/>
      <c r="I190" s="17"/>
      <c r="J190" s="23"/>
      <c r="K190" s="23"/>
      <c r="L190" s="23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>
      <c r="A191" s="17"/>
      <c r="B191" s="17"/>
      <c r="C191" s="17"/>
      <c r="D191" s="23"/>
      <c r="E191" s="38"/>
      <c r="F191" s="35"/>
      <c r="G191" s="22"/>
      <c r="H191" s="23"/>
      <c r="I191" s="17"/>
      <c r="J191" s="23"/>
      <c r="K191" s="23"/>
      <c r="L191" s="23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>
      <c r="A192" s="17"/>
      <c r="B192" s="17"/>
      <c r="C192" s="17"/>
      <c r="D192" s="23"/>
      <c r="E192" s="38"/>
      <c r="F192" s="35"/>
      <c r="G192" s="22"/>
      <c r="H192" s="23"/>
      <c r="I192" s="17"/>
      <c r="J192" s="23"/>
      <c r="K192" s="23"/>
      <c r="L192" s="23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>
      <c r="A193" s="17"/>
      <c r="B193" s="17"/>
      <c r="C193" s="17"/>
      <c r="D193" s="23"/>
      <c r="E193" s="38"/>
      <c r="F193" s="35"/>
      <c r="G193" s="22"/>
      <c r="H193" s="23"/>
      <c r="I193" s="17"/>
      <c r="J193" s="23"/>
      <c r="K193" s="23"/>
      <c r="L193" s="23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>
      <c r="A194" s="17"/>
      <c r="B194" s="17"/>
      <c r="C194" s="17"/>
      <c r="D194" s="23"/>
      <c r="E194" s="38"/>
      <c r="F194" s="35"/>
      <c r="G194" s="22"/>
      <c r="H194" s="23"/>
      <c r="I194" s="17"/>
      <c r="J194" s="23"/>
      <c r="K194" s="23"/>
      <c r="L194" s="23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>
      <c r="A195" s="17"/>
      <c r="B195" s="17"/>
      <c r="C195" s="17"/>
      <c r="D195" s="23"/>
      <c r="E195" s="38"/>
      <c r="F195" s="35"/>
      <c r="G195" s="22"/>
      <c r="H195" s="23"/>
      <c r="I195" s="17"/>
      <c r="J195" s="23"/>
      <c r="K195" s="23"/>
      <c r="L195" s="23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>
      <c r="A196" s="17"/>
      <c r="B196" s="17"/>
      <c r="C196" s="17"/>
      <c r="D196" s="23"/>
      <c r="E196" s="38"/>
      <c r="F196" s="35"/>
      <c r="G196" s="22"/>
      <c r="H196" s="23"/>
      <c r="I196" s="17"/>
      <c r="J196" s="23"/>
      <c r="K196" s="23"/>
      <c r="L196" s="23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>
      <c r="A197" s="17"/>
      <c r="B197" s="17"/>
      <c r="C197" s="17"/>
      <c r="D197" s="23"/>
      <c r="E197" s="38"/>
      <c r="F197" s="35"/>
      <c r="G197" s="22"/>
      <c r="H197" s="23"/>
      <c r="I197" s="17"/>
      <c r="J197" s="23"/>
      <c r="K197" s="23"/>
      <c r="L197" s="23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>
      <c r="A198" s="17"/>
      <c r="B198" s="17"/>
      <c r="C198" s="17"/>
      <c r="D198" s="23"/>
      <c r="E198" s="38"/>
      <c r="F198" s="35"/>
      <c r="G198" s="22"/>
      <c r="H198" s="23"/>
      <c r="I198" s="17"/>
      <c r="J198" s="23"/>
      <c r="K198" s="23"/>
      <c r="L198" s="23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>
      <c r="A199" s="17"/>
      <c r="B199" s="17"/>
      <c r="C199" s="17"/>
      <c r="D199" s="23"/>
      <c r="E199" s="38"/>
      <c r="F199" s="35"/>
      <c r="G199" s="22"/>
      <c r="H199" s="23"/>
      <c r="I199" s="17"/>
      <c r="J199" s="23"/>
      <c r="K199" s="23"/>
      <c r="L199" s="23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>
      <c r="A200" s="17"/>
      <c r="B200" s="17"/>
      <c r="C200" s="17"/>
      <c r="D200" s="23"/>
      <c r="E200" s="38"/>
      <c r="F200" s="35"/>
      <c r="G200" s="22"/>
      <c r="H200" s="23"/>
      <c r="I200" s="17"/>
      <c r="J200" s="23"/>
      <c r="K200" s="23"/>
      <c r="L200" s="23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>
      <c r="A201" s="17"/>
      <c r="B201" s="17"/>
      <c r="C201" s="17"/>
      <c r="D201" s="23"/>
      <c r="E201" s="38"/>
      <c r="F201" s="35"/>
      <c r="G201" s="22"/>
      <c r="H201" s="23"/>
      <c r="I201" s="17"/>
      <c r="J201" s="23"/>
      <c r="K201" s="23"/>
      <c r="L201" s="23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>
      <c r="A202" s="17"/>
      <c r="B202" s="17"/>
      <c r="C202" s="17"/>
      <c r="D202" s="23"/>
      <c r="E202" s="38"/>
      <c r="F202" s="35"/>
      <c r="G202" s="22"/>
      <c r="H202" s="23"/>
      <c r="I202" s="17"/>
      <c r="J202" s="23"/>
      <c r="K202" s="23"/>
      <c r="L202" s="23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>
      <c r="A203" s="17"/>
      <c r="B203" s="17"/>
      <c r="C203" s="17"/>
      <c r="D203" s="23"/>
      <c r="E203" s="38"/>
      <c r="F203" s="35"/>
      <c r="G203" s="22"/>
      <c r="H203" s="23"/>
      <c r="I203" s="17"/>
      <c r="J203" s="23"/>
      <c r="K203" s="23"/>
      <c r="L203" s="23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>
      <c r="A204" s="17"/>
      <c r="B204" s="17"/>
      <c r="C204" s="17"/>
      <c r="D204" s="23"/>
      <c r="E204" s="38"/>
      <c r="F204" s="35"/>
      <c r="G204" s="22"/>
      <c r="H204" s="23"/>
      <c r="I204" s="17"/>
      <c r="J204" s="23"/>
      <c r="K204" s="23"/>
      <c r="L204" s="23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>
      <c r="A205" s="17"/>
      <c r="B205" s="17"/>
      <c r="C205" s="17"/>
      <c r="D205" s="23"/>
      <c r="E205" s="38"/>
      <c r="F205" s="35"/>
      <c r="G205" s="22"/>
      <c r="H205" s="23"/>
      <c r="I205" s="17"/>
      <c r="J205" s="23"/>
      <c r="K205" s="23"/>
      <c r="L205" s="23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>
      <c r="A206" s="17"/>
      <c r="B206" s="17"/>
      <c r="C206" s="17"/>
      <c r="D206" s="23"/>
      <c r="E206" s="38"/>
      <c r="F206" s="35"/>
      <c r="G206" s="22"/>
      <c r="H206" s="23"/>
      <c r="I206" s="17"/>
      <c r="J206" s="23"/>
      <c r="K206" s="23"/>
      <c r="L206" s="23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>
      <c r="A207" s="17"/>
      <c r="B207" s="17"/>
      <c r="C207" s="17"/>
      <c r="D207" s="23"/>
      <c r="E207" s="38"/>
      <c r="F207" s="35"/>
      <c r="G207" s="22"/>
      <c r="H207" s="23"/>
      <c r="I207" s="17"/>
      <c r="J207" s="23"/>
      <c r="K207" s="23"/>
      <c r="L207" s="23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>
      <c r="A208" s="17"/>
      <c r="B208" s="17"/>
      <c r="C208" s="17"/>
      <c r="D208" s="23"/>
      <c r="E208" s="38"/>
      <c r="F208" s="35"/>
      <c r="G208" s="22"/>
      <c r="H208" s="23"/>
      <c r="I208" s="17"/>
      <c r="J208" s="23"/>
      <c r="K208" s="23"/>
      <c r="L208" s="23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>
      <c r="A209" s="17"/>
      <c r="B209" s="17"/>
      <c r="C209" s="17"/>
      <c r="D209" s="23"/>
      <c r="E209" s="38"/>
      <c r="F209" s="35"/>
      <c r="G209" s="22"/>
      <c r="H209" s="23"/>
      <c r="I209" s="17"/>
      <c r="J209" s="23"/>
      <c r="K209" s="23"/>
      <c r="L209" s="23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>
      <c r="A210" s="17"/>
      <c r="B210" s="17"/>
      <c r="C210" s="17"/>
      <c r="D210" s="23"/>
      <c r="E210" s="38"/>
      <c r="F210" s="35"/>
      <c r="G210" s="22"/>
      <c r="H210" s="23"/>
      <c r="I210" s="17"/>
      <c r="J210" s="23"/>
      <c r="K210" s="23"/>
      <c r="L210" s="23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>
      <c r="A211" s="17"/>
      <c r="B211" s="17"/>
      <c r="C211" s="17"/>
      <c r="D211" s="23"/>
      <c r="E211" s="38"/>
      <c r="F211" s="35"/>
      <c r="G211" s="22"/>
      <c r="H211" s="23"/>
      <c r="I211" s="17"/>
      <c r="J211" s="23"/>
      <c r="K211" s="23"/>
      <c r="L211" s="23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>
      <c r="A212" s="17"/>
      <c r="B212" s="17"/>
      <c r="C212" s="17"/>
      <c r="D212" s="23"/>
      <c r="E212" s="38"/>
      <c r="F212" s="35"/>
      <c r="G212" s="22"/>
      <c r="H212" s="23"/>
      <c r="I212" s="17"/>
      <c r="J212" s="23"/>
      <c r="K212" s="23"/>
      <c r="L212" s="23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>
      <c r="A213" s="17"/>
      <c r="B213" s="17"/>
      <c r="C213" s="17"/>
      <c r="D213" s="23"/>
      <c r="E213" s="38"/>
      <c r="F213" s="35"/>
      <c r="G213" s="22"/>
      <c r="H213" s="23"/>
      <c r="I213" s="17"/>
      <c r="J213" s="23"/>
      <c r="K213" s="23"/>
      <c r="L213" s="23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>
      <c r="A214" s="17"/>
      <c r="B214" s="17"/>
      <c r="C214" s="17"/>
      <c r="D214" s="23"/>
      <c r="E214" s="38"/>
      <c r="F214" s="35"/>
      <c r="G214" s="22"/>
      <c r="H214" s="23"/>
      <c r="I214" s="17"/>
      <c r="J214" s="23"/>
      <c r="K214" s="23"/>
      <c r="L214" s="23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>
      <c r="A215" s="17"/>
      <c r="B215" s="17"/>
      <c r="C215" s="17"/>
      <c r="D215" s="23"/>
      <c r="E215" s="38"/>
      <c r="F215" s="35"/>
      <c r="G215" s="22"/>
      <c r="H215" s="23"/>
      <c r="I215" s="17"/>
      <c r="J215" s="23"/>
      <c r="K215" s="23"/>
      <c r="L215" s="23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>
      <c r="A216" s="17"/>
      <c r="B216" s="17"/>
      <c r="C216" s="17"/>
      <c r="D216" s="23"/>
      <c r="E216" s="38"/>
      <c r="F216" s="35"/>
      <c r="G216" s="22"/>
      <c r="H216" s="23"/>
      <c r="I216" s="17"/>
      <c r="J216" s="23"/>
      <c r="K216" s="23"/>
      <c r="L216" s="23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>
      <c r="A217" s="17"/>
      <c r="B217" s="17"/>
      <c r="C217" s="17"/>
      <c r="D217" s="23"/>
      <c r="E217" s="38"/>
      <c r="F217" s="35"/>
      <c r="G217" s="22"/>
      <c r="H217" s="23"/>
      <c r="I217" s="17"/>
      <c r="J217" s="23"/>
      <c r="K217" s="23"/>
      <c r="L217" s="23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>
      <c r="A218" s="17"/>
      <c r="B218" s="17"/>
      <c r="C218" s="17"/>
      <c r="D218" s="23"/>
      <c r="E218" s="38"/>
      <c r="F218" s="35"/>
      <c r="G218" s="22"/>
      <c r="H218" s="23"/>
      <c r="I218" s="17"/>
      <c r="J218" s="23"/>
      <c r="K218" s="23"/>
      <c r="L218" s="23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>
      <c r="A219" s="17"/>
      <c r="B219" s="17"/>
      <c r="C219" s="17"/>
      <c r="D219" s="23"/>
      <c r="E219" s="38"/>
      <c r="F219" s="35"/>
      <c r="G219" s="22"/>
      <c r="H219" s="23"/>
      <c r="I219" s="17"/>
      <c r="J219" s="23"/>
      <c r="K219" s="23"/>
      <c r="L219" s="23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>
      <c r="A220" s="17"/>
      <c r="B220" s="17"/>
      <c r="C220" s="17"/>
      <c r="D220" s="23"/>
      <c r="E220" s="38"/>
      <c r="F220" s="35"/>
      <c r="G220" s="22"/>
      <c r="H220" s="23"/>
      <c r="I220" s="17"/>
      <c r="J220" s="23"/>
      <c r="K220" s="23"/>
      <c r="L220" s="23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>
      <c r="A221" s="17"/>
      <c r="B221" s="17"/>
      <c r="C221" s="17"/>
      <c r="D221" s="23"/>
      <c r="E221" s="38"/>
      <c r="F221" s="35"/>
      <c r="G221" s="22"/>
      <c r="H221" s="23"/>
      <c r="I221" s="17"/>
      <c r="J221" s="23"/>
      <c r="K221" s="23"/>
      <c r="L221" s="23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>
      <c r="A222" s="17"/>
      <c r="B222" s="17"/>
      <c r="C222" s="17"/>
      <c r="D222" s="23"/>
      <c r="E222" s="38"/>
      <c r="F222" s="35"/>
      <c r="G222" s="22"/>
      <c r="H222" s="23"/>
      <c r="I222" s="17"/>
      <c r="J222" s="23"/>
      <c r="K222" s="23"/>
      <c r="L222" s="23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>
      <c r="A223" s="17"/>
      <c r="B223" s="17"/>
      <c r="C223" s="17"/>
      <c r="D223" s="23"/>
      <c r="E223" s="38"/>
      <c r="F223" s="35"/>
      <c r="G223" s="22"/>
      <c r="H223" s="23"/>
      <c r="I223" s="17"/>
      <c r="J223" s="23"/>
      <c r="K223" s="23"/>
      <c r="L223" s="23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>
      <c r="A224" s="17"/>
      <c r="B224" s="17"/>
      <c r="C224" s="17"/>
      <c r="D224" s="23"/>
      <c r="E224" s="38"/>
      <c r="F224" s="35"/>
      <c r="G224" s="22"/>
      <c r="H224" s="23"/>
      <c r="I224" s="17"/>
      <c r="J224" s="23"/>
      <c r="K224" s="23"/>
      <c r="L224" s="23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>
      <c r="A225" s="17"/>
      <c r="B225" s="17"/>
      <c r="C225" s="17"/>
      <c r="D225" s="23"/>
      <c r="E225" s="38"/>
      <c r="F225" s="35"/>
      <c r="G225" s="22"/>
      <c r="H225" s="23"/>
      <c r="I225" s="17"/>
      <c r="J225" s="23"/>
      <c r="K225" s="23"/>
      <c r="L225" s="23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>
      <c r="A226" s="17"/>
      <c r="B226" s="17"/>
      <c r="C226" s="17"/>
      <c r="D226" s="23"/>
      <c r="E226" s="38"/>
      <c r="F226" s="35"/>
      <c r="G226" s="22"/>
      <c r="H226" s="23"/>
      <c r="I226" s="17"/>
      <c r="J226" s="23"/>
      <c r="K226" s="23"/>
      <c r="L226" s="23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>
      <c r="A227" s="17"/>
      <c r="B227" s="17"/>
      <c r="C227" s="17"/>
      <c r="D227" s="23"/>
      <c r="E227" s="38"/>
      <c r="F227" s="35"/>
      <c r="G227" s="22"/>
      <c r="H227" s="23"/>
      <c r="I227" s="17"/>
      <c r="J227" s="23"/>
      <c r="K227" s="23"/>
      <c r="L227" s="23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>
      <c r="A228" s="17"/>
      <c r="B228" s="17"/>
      <c r="C228" s="17"/>
      <c r="D228" s="23"/>
      <c r="E228" s="38"/>
      <c r="F228" s="35"/>
      <c r="G228" s="22"/>
      <c r="H228" s="23"/>
      <c r="I228" s="17"/>
      <c r="J228" s="23"/>
      <c r="K228" s="23"/>
      <c r="L228" s="23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>
      <c r="A229" s="17"/>
      <c r="B229" s="17"/>
      <c r="C229" s="17"/>
      <c r="D229" s="23"/>
      <c r="E229" s="38"/>
      <c r="F229" s="35"/>
      <c r="G229" s="22"/>
      <c r="H229" s="23"/>
      <c r="I229" s="17"/>
      <c r="J229" s="23"/>
      <c r="K229" s="23"/>
      <c r="L229" s="23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>
      <c r="A230" s="17"/>
      <c r="B230" s="17"/>
      <c r="C230" s="17"/>
      <c r="D230" s="23"/>
      <c r="E230" s="38"/>
      <c r="F230" s="35"/>
      <c r="G230" s="22"/>
      <c r="H230" s="23"/>
      <c r="I230" s="17"/>
      <c r="J230" s="23"/>
      <c r="K230" s="23"/>
      <c r="L230" s="23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>
      <c r="A231" s="17"/>
      <c r="B231" s="17"/>
      <c r="C231" s="17"/>
      <c r="D231" s="23"/>
      <c r="E231" s="38"/>
      <c r="F231" s="35"/>
      <c r="G231" s="22"/>
      <c r="H231" s="23"/>
      <c r="I231" s="17"/>
      <c r="J231" s="23"/>
      <c r="K231" s="23"/>
      <c r="L231" s="23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>
      <c r="A232" s="17"/>
      <c r="B232" s="17"/>
      <c r="C232" s="17"/>
      <c r="D232" s="23"/>
      <c r="E232" s="38"/>
      <c r="F232" s="35"/>
      <c r="G232" s="22"/>
      <c r="H232" s="23"/>
      <c r="I232" s="17"/>
      <c r="J232" s="23"/>
      <c r="K232" s="23"/>
      <c r="L232" s="23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>
      <c r="A233" s="17"/>
      <c r="B233" s="17"/>
      <c r="C233" s="17"/>
      <c r="D233" s="23"/>
      <c r="E233" s="38"/>
      <c r="F233" s="35"/>
      <c r="G233" s="22"/>
      <c r="H233" s="23"/>
      <c r="I233" s="17"/>
      <c r="J233" s="23"/>
      <c r="K233" s="23"/>
      <c r="L233" s="23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>
      <c r="A234" s="17"/>
      <c r="B234" s="17"/>
      <c r="C234" s="17"/>
      <c r="D234" s="23"/>
      <c r="E234" s="38"/>
      <c r="F234" s="35"/>
      <c r="G234" s="22"/>
      <c r="H234" s="23"/>
      <c r="I234" s="17"/>
      <c r="J234" s="23"/>
      <c r="K234" s="23"/>
      <c r="L234" s="23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>
      <c r="A235" s="17"/>
      <c r="B235" s="17"/>
      <c r="C235" s="17"/>
      <c r="D235" s="23"/>
      <c r="E235" s="38"/>
      <c r="F235" s="35"/>
      <c r="G235" s="22"/>
      <c r="H235" s="23"/>
      <c r="I235" s="17"/>
      <c r="J235" s="23"/>
      <c r="K235" s="23"/>
      <c r="L235" s="23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>
      <c r="A236" s="17"/>
      <c r="B236" s="17"/>
      <c r="C236" s="17"/>
      <c r="D236" s="23"/>
      <c r="E236" s="38"/>
      <c r="F236" s="35"/>
      <c r="G236" s="22"/>
      <c r="H236" s="23"/>
      <c r="I236" s="17"/>
      <c r="J236" s="23"/>
      <c r="K236" s="23"/>
      <c r="L236" s="23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>
      <c r="A237" s="17"/>
      <c r="B237" s="17"/>
      <c r="C237" s="17"/>
      <c r="D237" s="23"/>
      <c r="E237" s="38"/>
      <c r="F237" s="35"/>
      <c r="G237" s="22"/>
      <c r="H237" s="23"/>
      <c r="I237" s="17"/>
      <c r="J237" s="23"/>
      <c r="K237" s="23"/>
      <c r="L237" s="23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>
      <c r="A238" s="17"/>
      <c r="B238" s="17"/>
      <c r="C238" s="17"/>
      <c r="D238" s="23"/>
      <c r="E238" s="38"/>
      <c r="F238" s="35"/>
      <c r="G238" s="22"/>
      <c r="H238" s="23"/>
      <c r="I238" s="17"/>
      <c r="J238" s="23"/>
      <c r="K238" s="23"/>
      <c r="L238" s="23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>
      <c r="A239" s="17"/>
      <c r="B239" s="17"/>
      <c r="C239" s="17"/>
      <c r="D239" s="23"/>
      <c r="E239" s="38"/>
      <c r="F239" s="35"/>
      <c r="G239" s="22"/>
      <c r="H239" s="23"/>
      <c r="I239" s="17"/>
      <c r="J239" s="23"/>
      <c r="K239" s="23"/>
      <c r="L239" s="23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>
      <c r="A240" s="17"/>
      <c r="B240" s="17"/>
      <c r="C240" s="17"/>
      <c r="D240" s="23"/>
      <c r="E240" s="38"/>
      <c r="F240" s="35"/>
      <c r="G240" s="22"/>
      <c r="H240" s="23"/>
      <c r="I240" s="17"/>
      <c r="J240" s="23"/>
      <c r="K240" s="23"/>
      <c r="L240" s="23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>
      <c r="A241" s="17"/>
      <c r="B241" s="17"/>
      <c r="C241" s="17"/>
      <c r="D241" s="23"/>
      <c r="E241" s="38"/>
      <c r="F241" s="35"/>
      <c r="G241" s="22"/>
      <c r="H241" s="23"/>
      <c r="I241" s="17"/>
      <c r="J241" s="23"/>
      <c r="K241" s="23"/>
      <c r="L241" s="23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>
      <c r="A242" s="17"/>
      <c r="B242" s="17"/>
      <c r="C242" s="17"/>
      <c r="D242" s="23"/>
      <c r="E242" s="38"/>
      <c r="F242" s="35"/>
      <c r="G242" s="22"/>
      <c r="H242" s="23"/>
      <c r="I242" s="17"/>
      <c r="J242" s="23"/>
      <c r="K242" s="23"/>
      <c r="L242" s="23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>
      <c r="A243" s="17"/>
      <c r="B243" s="17"/>
      <c r="C243" s="17"/>
      <c r="D243" s="23"/>
      <c r="E243" s="38"/>
      <c r="F243" s="35"/>
      <c r="G243" s="22"/>
      <c r="H243" s="23"/>
      <c r="I243" s="17"/>
      <c r="J243" s="23"/>
      <c r="K243" s="23"/>
      <c r="L243" s="23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>
      <c r="A244" s="17"/>
      <c r="B244" s="17"/>
      <c r="C244" s="17"/>
      <c r="D244" s="23"/>
      <c r="E244" s="38"/>
      <c r="F244" s="35"/>
      <c r="G244" s="22"/>
      <c r="H244" s="23"/>
      <c r="I244" s="17"/>
      <c r="J244" s="23"/>
      <c r="K244" s="23"/>
      <c r="L244" s="23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>
      <c r="A245" s="17"/>
      <c r="B245" s="17"/>
      <c r="C245" s="17"/>
      <c r="D245" s="23"/>
      <c r="E245" s="38"/>
      <c r="F245" s="35"/>
      <c r="G245" s="22"/>
      <c r="H245" s="23"/>
      <c r="I245" s="17"/>
      <c r="J245" s="23"/>
      <c r="K245" s="23"/>
      <c r="L245" s="23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>
      <c r="A246" s="17"/>
      <c r="B246" s="17"/>
      <c r="C246" s="17"/>
      <c r="D246" s="23"/>
      <c r="E246" s="38"/>
      <c r="F246" s="35"/>
      <c r="G246" s="22"/>
      <c r="H246" s="23"/>
      <c r="I246" s="17"/>
      <c r="J246" s="23"/>
      <c r="K246" s="23"/>
      <c r="L246" s="23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>
      <c r="A247" s="17"/>
      <c r="B247" s="17"/>
      <c r="C247" s="17"/>
      <c r="D247" s="23"/>
      <c r="E247" s="38"/>
      <c r="F247" s="35"/>
      <c r="G247" s="22"/>
      <c r="H247" s="23"/>
      <c r="I247" s="17"/>
      <c r="J247" s="23"/>
      <c r="K247" s="23"/>
      <c r="L247" s="23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>
      <c r="A248" s="17"/>
      <c r="B248" s="17"/>
      <c r="C248" s="17"/>
      <c r="D248" s="23"/>
      <c r="E248" s="38"/>
      <c r="F248" s="35"/>
      <c r="G248" s="22"/>
      <c r="H248" s="23"/>
      <c r="I248" s="17"/>
      <c r="J248" s="23"/>
      <c r="K248" s="23"/>
      <c r="L248" s="23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>
      <c r="A249" s="17"/>
      <c r="B249" s="17"/>
      <c r="C249" s="17"/>
      <c r="D249" s="23"/>
      <c r="E249" s="38"/>
      <c r="F249" s="35"/>
      <c r="G249" s="22"/>
      <c r="H249" s="23"/>
      <c r="I249" s="17"/>
      <c r="J249" s="23"/>
      <c r="K249" s="23"/>
      <c r="L249" s="23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>
      <c r="A250" s="17"/>
      <c r="B250" s="17"/>
      <c r="C250" s="17"/>
      <c r="D250" s="23"/>
      <c r="E250" s="38"/>
      <c r="F250" s="35"/>
      <c r="G250" s="22"/>
      <c r="H250" s="23"/>
      <c r="I250" s="17"/>
      <c r="J250" s="23"/>
      <c r="K250" s="23"/>
      <c r="L250" s="23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>
      <c r="A251" s="17"/>
      <c r="B251" s="17"/>
      <c r="C251" s="17"/>
      <c r="D251" s="23"/>
      <c r="E251" s="38"/>
      <c r="F251" s="35"/>
      <c r="G251" s="22"/>
      <c r="H251" s="23"/>
      <c r="I251" s="17"/>
      <c r="J251" s="23"/>
      <c r="K251" s="23"/>
      <c r="L251" s="23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>
      <c r="A252" s="17"/>
      <c r="B252" s="17"/>
      <c r="C252" s="17"/>
      <c r="D252" s="23"/>
      <c r="E252" s="38"/>
      <c r="F252" s="35"/>
      <c r="G252" s="22"/>
      <c r="H252" s="23"/>
      <c r="I252" s="17"/>
      <c r="J252" s="23"/>
      <c r="K252" s="23"/>
      <c r="L252" s="23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>
      <c r="A253" s="17"/>
      <c r="B253" s="17"/>
      <c r="C253" s="17"/>
      <c r="D253" s="23"/>
      <c r="E253" s="38"/>
      <c r="F253" s="35"/>
      <c r="G253" s="22"/>
      <c r="H253" s="23"/>
      <c r="I253" s="17"/>
      <c r="J253" s="23"/>
      <c r="K253" s="23"/>
      <c r="L253" s="23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>
      <c r="A254" s="17"/>
      <c r="B254" s="17"/>
      <c r="C254" s="17"/>
      <c r="D254" s="23"/>
      <c r="E254" s="38"/>
      <c r="F254" s="35"/>
      <c r="G254" s="22"/>
      <c r="H254" s="23"/>
      <c r="I254" s="17"/>
      <c r="J254" s="23"/>
      <c r="K254" s="23"/>
      <c r="L254" s="23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>
      <c r="A255" s="17"/>
      <c r="B255" s="17"/>
      <c r="C255" s="17"/>
      <c r="D255" s="23"/>
      <c r="E255" s="38"/>
      <c r="F255" s="35"/>
      <c r="G255" s="22"/>
      <c r="H255" s="23"/>
      <c r="I255" s="17"/>
      <c r="J255" s="23"/>
      <c r="K255" s="23"/>
      <c r="L255" s="23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>
      <c r="A256" s="17"/>
      <c r="B256" s="17"/>
      <c r="C256" s="17"/>
      <c r="D256" s="23"/>
      <c r="E256" s="38"/>
      <c r="F256" s="35"/>
      <c r="G256" s="22"/>
      <c r="H256" s="23"/>
      <c r="I256" s="17"/>
      <c r="J256" s="23"/>
      <c r="K256" s="23"/>
      <c r="L256" s="23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>
      <c r="A257" s="17"/>
      <c r="B257" s="17"/>
      <c r="C257" s="17"/>
      <c r="D257" s="23"/>
      <c r="E257" s="38"/>
      <c r="F257" s="35"/>
      <c r="G257" s="22"/>
      <c r="H257" s="23"/>
      <c r="I257" s="17"/>
      <c r="J257" s="23"/>
      <c r="K257" s="23"/>
      <c r="L257" s="23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>
      <c r="A258" s="17"/>
      <c r="B258" s="17"/>
      <c r="C258" s="17"/>
      <c r="D258" s="23"/>
      <c r="E258" s="38"/>
      <c r="F258" s="35"/>
      <c r="G258" s="22"/>
      <c r="H258" s="23"/>
      <c r="I258" s="17"/>
      <c r="J258" s="23"/>
      <c r="K258" s="23"/>
      <c r="L258" s="23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>
      <c r="A259" s="17"/>
      <c r="B259" s="17"/>
      <c r="C259" s="17"/>
      <c r="D259" s="23"/>
      <c r="E259" s="38"/>
      <c r="F259" s="35"/>
      <c r="G259" s="22"/>
      <c r="H259" s="23"/>
      <c r="I259" s="17"/>
      <c r="J259" s="23"/>
      <c r="K259" s="23"/>
      <c r="L259" s="23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>
      <c r="A260" s="17"/>
      <c r="B260" s="17"/>
      <c r="C260" s="17"/>
      <c r="D260" s="23"/>
      <c r="E260" s="38"/>
      <c r="F260" s="35"/>
      <c r="G260" s="22"/>
      <c r="H260" s="23"/>
      <c r="I260" s="17"/>
      <c r="J260" s="23"/>
      <c r="K260" s="23"/>
      <c r="L260" s="23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>
      <c r="A261" s="17"/>
      <c r="B261" s="17"/>
      <c r="C261" s="17"/>
      <c r="D261" s="23"/>
      <c r="E261" s="38"/>
      <c r="F261" s="35"/>
      <c r="G261" s="22"/>
      <c r="H261" s="23"/>
      <c r="I261" s="17"/>
      <c r="J261" s="23"/>
      <c r="K261" s="23"/>
      <c r="L261" s="23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>
      <c r="A262" s="17"/>
      <c r="B262" s="17"/>
      <c r="C262" s="17"/>
      <c r="D262" s="23"/>
      <c r="E262" s="38"/>
      <c r="F262" s="35"/>
      <c r="G262" s="22"/>
      <c r="H262" s="23"/>
      <c r="I262" s="17"/>
      <c r="J262" s="23"/>
      <c r="K262" s="23"/>
      <c r="L262" s="23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>
      <c r="A263" s="17"/>
      <c r="B263" s="17"/>
      <c r="C263" s="17"/>
      <c r="D263" s="23"/>
      <c r="E263" s="38"/>
      <c r="F263" s="35"/>
      <c r="G263" s="22"/>
      <c r="H263" s="23"/>
      <c r="I263" s="17"/>
      <c r="J263" s="23"/>
      <c r="K263" s="23"/>
      <c r="L263" s="23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>
      <c r="A264" s="17"/>
      <c r="B264" s="17"/>
      <c r="C264" s="17"/>
      <c r="D264" s="23"/>
      <c r="E264" s="38"/>
      <c r="F264" s="35"/>
      <c r="G264" s="22"/>
      <c r="H264" s="23"/>
      <c r="I264" s="17"/>
      <c r="J264" s="23"/>
      <c r="K264" s="23"/>
      <c r="L264" s="23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>
      <c r="A265" s="17"/>
      <c r="B265" s="17"/>
      <c r="C265" s="17"/>
      <c r="D265" s="23"/>
      <c r="E265" s="38"/>
      <c r="F265" s="35"/>
      <c r="G265" s="22"/>
      <c r="H265" s="23"/>
      <c r="I265" s="17"/>
      <c r="J265" s="23"/>
      <c r="K265" s="23"/>
      <c r="L265" s="23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>
      <c r="A266" s="17"/>
      <c r="B266" s="17"/>
      <c r="C266" s="17"/>
      <c r="D266" s="23"/>
      <c r="E266" s="38"/>
      <c r="F266" s="35"/>
      <c r="G266" s="22"/>
      <c r="H266" s="23"/>
      <c r="I266" s="17"/>
      <c r="J266" s="23"/>
      <c r="K266" s="23"/>
      <c r="L266" s="23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>
      <c r="A267" s="17"/>
      <c r="B267" s="17"/>
      <c r="C267" s="17"/>
      <c r="D267" s="23"/>
      <c r="E267" s="38"/>
      <c r="F267" s="35"/>
      <c r="G267" s="22"/>
      <c r="H267" s="23"/>
      <c r="I267" s="17"/>
      <c r="J267" s="23"/>
      <c r="K267" s="23"/>
      <c r="L267" s="23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>
      <c r="A268" s="17"/>
      <c r="B268" s="17"/>
      <c r="C268" s="17"/>
      <c r="D268" s="23"/>
      <c r="E268" s="38"/>
      <c r="F268" s="35"/>
      <c r="G268" s="22"/>
      <c r="H268" s="23"/>
      <c r="I268" s="17"/>
      <c r="J268" s="23"/>
      <c r="K268" s="23"/>
      <c r="L268" s="23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>
      <c r="A269" s="17"/>
      <c r="B269" s="17"/>
      <c r="C269" s="17"/>
      <c r="D269" s="23"/>
      <c r="E269" s="38"/>
      <c r="F269" s="35"/>
      <c r="G269" s="22"/>
      <c r="H269" s="23"/>
      <c r="I269" s="17"/>
      <c r="J269" s="23"/>
      <c r="K269" s="23"/>
      <c r="L269" s="23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>
      <c r="A270" s="17"/>
      <c r="B270" s="17"/>
      <c r="C270" s="17"/>
      <c r="D270" s="23"/>
      <c r="E270" s="38"/>
      <c r="F270" s="35"/>
      <c r="G270" s="22"/>
      <c r="H270" s="23"/>
      <c r="I270" s="17"/>
      <c r="J270" s="23"/>
      <c r="K270" s="23"/>
      <c r="L270" s="23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</row>
    <row r="271">
      <c r="A271" s="17"/>
      <c r="B271" s="17"/>
      <c r="C271" s="17"/>
      <c r="D271" s="23"/>
      <c r="E271" s="38"/>
      <c r="F271" s="35"/>
      <c r="G271" s="22"/>
      <c r="H271" s="23"/>
      <c r="I271" s="17"/>
      <c r="J271" s="23"/>
      <c r="K271" s="23"/>
      <c r="L271" s="23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</row>
    <row r="272">
      <c r="A272" s="17"/>
      <c r="B272" s="17"/>
      <c r="C272" s="17"/>
      <c r="D272" s="23"/>
      <c r="E272" s="38"/>
      <c r="F272" s="35"/>
      <c r="G272" s="22"/>
      <c r="H272" s="23"/>
      <c r="I272" s="17"/>
      <c r="J272" s="23"/>
      <c r="K272" s="23"/>
      <c r="L272" s="23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</row>
    <row r="273">
      <c r="A273" s="17"/>
      <c r="B273" s="17"/>
      <c r="C273" s="17"/>
      <c r="D273" s="23"/>
      <c r="E273" s="38"/>
      <c r="F273" s="35"/>
      <c r="G273" s="22"/>
      <c r="H273" s="23"/>
      <c r="I273" s="17"/>
      <c r="J273" s="23"/>
      <c r="K273" s="23"/>
      <c r="L273" s="23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</row>
    <row r="274">
      <c r="A274" s="17"/>
      <c r="B274" s="17"/>
      <c r="C274" s="17"/>
      <c r="D274" s="23"/>
      <c r="E274" s="38"/>
      <c r="F274" s="35"/>
      <c r="G274" s="22"/>
      <c r="H274" s="23"/>
      <c r="I274" s="17"/>
      <c r="J274" s="23"/>
      <c r="K274" s="23"/>
      <c r="L274" s="23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>
      <c r="A275" s="17"/>
      <c r="B275" s="17"/>
      <c r="C275" s="17"/>
      <c r="D275" s="23"/>
      <c r="E275" s="38"/>
      <c r="F275" s="35"/>
      <c r="G275" s="22"/>
      <c r="H275" s="23"/>
      <c r="I275" s="17"/>
      <c r="J275" s="23"/>
      <c r="K275" s="23"/>
      <c r="L275" s="23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</row>
    <row r="276">
      <c r="A276" s="17"/>
      <c r="B276" s="17"/>
      <c r="C276" s="17"/>
      <c r="D276" s="23"/>
      <c r="E276" s="38"/>
      <c r="F276" s="35"/>
      <c r="G276" s="22"/>
      <c r="H276" s="23"/>
      <c r="I276" s="17"/>
      <c r="J276" s="23"/>
      <c r="K276" s="23"/>
      <c r="L276" s="23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</row>
    <row r="277">
      <c r="A277" s="17"/>
      <c r="B277" s="17"/>
      <c r="C277" s="17"/>
      <c r="D277" s="23"/>
      <c r="E277" s="38"/>
      <c r="F277" s="35"/>
      <c r="G277" s="22"/>
      <c r="H277" s="23"/>
      <c r="I277" s="17"/>
      <c r="J277" s="23"/>
      <c r="K277" s="23"/>
      <c r="L277" s="23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</row>
    <row r="278">
      <c r="A278" s="17"/>
      <c r="B278" s="17"/>
      <c r="C278" s="17"/>
      <c r="D278" s="23"/>
      <c r="E278" s="38"/>
      <c r="F278" s="35"/>
      <c r="G278" s="22"/>
      <c r="H278" s="23"/>
      <c r="I278" s="17"/>
      <c r="J278" s="23"/>
      <c r="K278" s="23"/>
      <c r="L278" s="23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</row>
    <row r="279">
      <c r="A279" s="17"/>
      <c r="B279" s="17"/>
      <c r="C279" s="17"/>
      <c r="D279" s="23"/>
      <c r="E279" s="38"/>
      <c r="F279" s="35"/>
      <c r="G279" s="22"/>
      <c r="H279" s="23"/>
      <c r="I279" s="17"/>
      <c r="J279" s="23"/>
      <c r="K279" s="23"/>
      <c r="L279" s="23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</row>
    <row r="280">
      <c r="A280" s="17"/>
      <c r="B280" s="17"/>
      <c r="C280" s="17"/>
      <c r="D280" s="23"/>
      <c r="E280" s="38"/>
      <c r="F280" s="35"/>
      <c r="G280" s="22"/>
      <c r="H280" s="23"/>
      <c r="I280" s="17"/>
      <c r="J280" s="23"/>
      <c r="K280" s="23"/>
      <c r="L280" s="23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</row>
    <row r="281">
      <c r="A281" s="17"/>
      <c r="B281" s="17"/>
      <c r="C281" s="17"/>
      <c r="D281" s="23"/>
      <c r="E281" s="38"/>
      <c r="F281" s="35"/>
      <c r="G281" s="22"/>
      <c r="H281" s="23"/>
      <c r="I281" s="17"/>
      <c r="J281" s="23"/>
      <c r="K281" s="23"/>
      <c r="L281" s="23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</row>
    <row r="282">
      <c r="A282" s="17"/>
      <c r="B282" s="17"/>
      <c r="C282" s="17"/>
      <c r="D282" s="23"/>
      <c r="E282" s="38"/>
      <c r="F282" s="35"/>
      <c r="G282" s="22"/>
      <c r="H282" s="23"/>
      <c r="I282" s="17"/>
      <c r="J282" s="23"/>
      <c r="K282" s="23"/>
      <c r="L282" s="23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</row>
    <row r="283">
      <c r="A283" s="17"/>
      <c r="B283" s="17"/>
      <c r="C283" s="17"/>
      <c r="D283" s="23"/>
      <c r="E283" s="38"/>
      <c r="F283" s="35"/>
      <c r="G283" s="22"/>
      <c r="H283" s="23"/>
      <c r="I283" s="17"/>
      <c r="J283" s="23"/>
      <c r="K283" s="23"/>
      <c r="L283" s="23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</row>
    <row r="284">
      <c r="A284" s="17"/>
      <c r="B284" s="17"/>
      <c r="C284" s="17"/>
      <c r="D284" s="23"/>
      <c r="E284" s="38"/>
      <c r="F284" s="35"/>
      <c r="G284" s="22"/>
      <c r="H284" s="23"/>
      <c r="I284" s="17"/>
      <c r="J284" s="23"/>
      <c r="K284" s="23"/>
      <c r="L284" s="23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</row>
    <row r="285">
      <c r="A285" s="17"/>
      <c r="B285" s="17"/>
      <c r="C285" s="17"/>
      <c r="D285" s="23"/>
      <c r="E285" s="38"/>
      <c r="F285" s="35"/>
      <c r="G285" s="22"/>
      <c r="H285" s="23"/>
      <c r="I285" s="17"/>
      <c r="J285" s="23"/>
      <c r="K285" s="23"/>
      <c r="L285" s="23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</row>
    <row r="286">
      <c r="A286" s="17"/>
      <c r="B286" s="17"/>
      <c r="C286" s="17"/>
      <c r="D286" s="23"/>
      <c r="E286" s="38"/>
      <c r="F286" s="35"/>
      <c r="G286" s="22"/>
      <c r="H286" s="23"/>
      <c r="I286" s="17"/>
      <c r="J286" s="23"/>
      <c r="K286" s="23"/>
      <c r="L286" s="23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</row>
    <row r="287">
      <c r="A287" s="17"/>
      <c r="B287" s="17"/>
      <c r="C287" s="17"/>
      <c r="D287" s="23"/>
      <c r="E287" s="38"/>
      <c r="F287" s="35"/>
      <c r="G287" s="22"/>
      <c r="H287" s="23"/>
      <c r="I287" s="17"/>
      <c r="J287" s="23"/>
      <c r="K287" s="23"/>
      <c r="L287" s="23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</row>
    <row r="288">
      <c r="A288" s="17"/>
      <c r="B288" s="17"/>
      <c r="C288" s="17"/>
      <c r="D288" s="23"/>
      <c r="E288" s="38"/>
      <c r="F288" s="35"/>
      <c r="G288" s="22"/>
      <c r="H288" s="23"/>
      <c r="I288" s="17"/>
      <c r="J288" s="23"/>
      <c r="K288" s="23"/>
      <c r="L288" s="23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</row>
    <row r="289">
      <c r="A289" s="17"/>
      <c r="B289" s="17"/>
      <c r="C289" s="17"/>
      <c r="D289" s="23"/>
      <c r="E289" s="38"/>
      <c r="F289" s="35"/>
      <c r="G289" s="22"/>
      <c r="H289" s="23"/>
      <c r="I289" s="17"/>
      <c r="J289" s="23"/>
      <c r="K289" s="23"/>
      <c r="L289" s="23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>
      <c r="A290" s="17"/>
      <c r="B290" s="17"/>
      <c r="C290" s="17"/>
      <c r="D290" s="23"/>
      <c r="E290" s="38"/>
      <c r="F290" s="35"/>
      <c r="G290" s="22"/>
      <c r="H290" s="23"/>
      <c r="I290" s="17"/>
      <c r="J290" s="23"/>
      <c r="K290" s="23"/>
      <c r="L290" s="23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>
      <c r="A291" s="17"/>
      <c r="B291" s="17"/>
      <c r="C291" s="17"/>
      <c r="D291" s="23"/>
      <c r="E291" s="38"/>
      <c r="F291" s="35"/>
      <c r="G291" s="22"/>
      <c r="H291" s="23"/>
      <c r="I291" s="17"/>
      <c r="J291" s="23"/>
      <c r="K291" s="23"/>
      <c r="L291" s="23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</row>
    <row r="292">
      <c r="A292" s="17"/>
      <c r="B292" s="17"/>
      <c r="C292" s="17"/>
      <c r="D292" s="23"/>
      <c r="E292" s="38"/>
      <c r="F292" s="35"/>
      <c r="G292" s="22"/>
      <c r="H292" s="23"/>
      <c r="I292" s="17"/>
      <c r="J292" s="23"/>
      <c r="K292" s="23"/>
      <c r="L292" s="23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</row>
    <row r="293">
      <c r="A293" s="17"/>
      <c r="B293" s="17"/>
      <c r="C293" s="17"/>
      <c r="D293" s="23"/>
      <c r="E293" s="38"/>
      <c r="F293" s="35"/>
      <c r="G293" s="22"/>
      <c r="H293" s="23"/>
      <c r="I293" s="17"/>
      <c r="J293" s="23"/>
      <c r="K293" s="23"/>
      <c r="L293" s="23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</row>
    <row r="294">
      <c r="A294" s="17"/>
      <c r="B294" s="17"/>
      <c r="C294" s="17"/>
      <c r="D294" s="23"/>
      <c r="E294" s="38"/>
      <c r="F294" s="35"/>
      <c r="G294" s="22"/>
      <c r="H294" s="23"/>
      <c r="I294" s="17"/>
      <c r="J294" s="23"/>
      <c r="K294" s="23"/>
      <c r="L294" s="23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</row>
    <row r="295">
      <c r="A295" s="17"/>
      <c r="B295" s="17"/>
      <c r="C295" s="17"/>
      <c r="D295" s="23"/>
      <c r="E295" s="38"/>
      <c r="F295" s="35"/>
      <c r="G295" s="22"/>
      <c r="H295" s="23"/>
      <c r="I295" s="17"/>
      <c r="J295" s="23"/>
      <c r="K295" s="23"/>
      <c r="L295" s="23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</row>
    <row r="296">
      <c r="A296" s="17"/>
      <c r="B296" s="17"/>
      <c r="C296" s="17"/>
      <c r="D296" s="23"/>
      <c r="E296" s="38"/>
      <c r="F296" s="35"/>
      <c r="G296" s="22"/>
      <c r="H296" s="23"/>
      <c r="I296" s="17"/>
      <c r="J296" s="23"/>
      <c r="K296" s="23"/>
      <c r="L296" s="23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</row>
    <row r="297">
      <c r="A297" s="17"/>
      <c r="B297" s="17"/>
      <c r="C297" s="17"/>
      <c r="D297" s="23"/>
      <c r="E297" s="38"/>
      <c r="F297" s="35"/>
      <c r="G297" s="22"/>
      <c r="H297" s="23"/>
      <c r="I297" s="17"/>
      <c r="J297" s="23"/>
      <c r="K297" s="23"/>
      <c r="L297" s="23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</row>
    <row r="298">
      <c r="A298" s="17"/>
      <c r="B298" s="17"/>
      <c r="C298" s="17"/>
      <c r="D298" s="23"/>
      <c r="E298" s="38"/>
      <c r="F298" s="35"/>
      <c r="G298" s="22"/>
      <c r="H298" s="23"/>
      <c r="I298" s="17"/>
      <c r="J298" s="23"/>
      <c r="K298" s="23"/>
      <c r="L298" s="23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>
      <c r="A299" s="17"/>
      <c r="B299" s="17"/>
      <c r="C299" s="17"/>
      <c r="D299" s="23"/>
      <c r="E299" s="38"/>
      <c r="F299" s="35"/>
      <c r="G299" s="22"/>
      <c r="H299" s="23"/>
      <c r="I299" s="17"/>
      <c r="J299" s="23"/>
      <c r="K299" s="23"/>
      <c r="L299" s="23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</row>
    <row r="300">
      <c r="A300" s="17"/>
      <c r="B300" s="17"/>
      <c r="C300" s="17"/>
      <c r="D300" s="23"/>
      <c r="E300" s="38"/>
      <c r="F300" s="35"/>
      <c r="G300" s="22"/>
      <c r="H300" s="23"/>
      <c r="I300" s="17"/>
      <c r="J300" s="23"/>
      <c r="K300" s="23"/>
      <c r="L300" s="23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</row>
    <row r="301">
      <c r="A301" s="17"/>
      <c r="B301" s="17"/>
      <c r="C301" s="17"/>
      <c r="D301" s="23"/>
      <c r="E301" s="38"/>
      <c r="F301" s="35"/>
      <c r="G301" s="22"/>
      <c r="H301" s="23"/>
      <c r="I301" s="17"/>
      <c r="J301" s="23"/>
      <c r="K301" s="23"/>
      <c r="L301" s="23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>
      <c r="A302" s="17"/>
      <c r="B302" s="17"/>
      <c r="C302" s="17"/>
      <c r="D302" s="23"/>
      <c r="E302" s="38"/>
      <c r="F302" s="35"/>
      <c r="G302" s="22"/>
      <c r="H302" s="23"/>
      <c r="I302" s="17"/>
      <c r="J302" s="23"/>
      <c r="K302" s="23"/>
      <c r="L302" s="23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</row>
    <row r="303">
      <c r="A303" s="17"/>
      <c r="B303" s="17"/>
      <c r="C303" s="17"/>
      <c r="D303" s="23"/>
      <c r="E303" s="38"/>
      <c r="F303" s="35"/>
      <c r="G303" s="22"/>
      <c r="H303" s="23"/>
      <c r="I303" s="17"/>
      <c r="J303" s="23"/>
      <c r="K303" s="23"/>
      <c r="L303" s="23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</row>
    <row r="304">
      <c r="A304" s="17"/>
      <c r="B304" s="17"/>
      <c r="C304" s="17"/>
      <c r="D304" s="23"/>
      <c r="E304" s="38"/>
      <c r="F304" s="35"/>
      <c r="G304" s="22"/>
      <c r="H304" s="23"/>
      <c r="I304" s="17"/>
      <c r="J304" s="23"/>
      <c r="K304" s="23"/>
      <c r="L304" s="23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</row>
    <row r="305">
      <c r="A305" s="17"/>
      <c r="B305" s="17"/>
      <c r="C305" s="17"/>
      <c r="D305" s="23"/>
      <c r="E305" s="38"/>
      <c r="F305" s="35"/>
      <c r="G305" s="22"/>
      <c r="H305" s="23"/>
      <c r="I305" s="17"/>
      <c r="J305" s="23"/>
      <c r="K305" s="23"/>
      <c r="L305" s="23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>
      <c r="A306" s="17"/>
      <c r="B306" s="17"/>
      <c r="C306" s="17"/>
      <c r="D306" s="23"/>
      <c r="E306" s="38"/>
      <c r="F306" s="35"/>
      <c r="G306" s="22"/>
      <c r="H306" s="23"/>
      <c r="I306" s="17"/>
      <c r="J306" s="23"/>
      <c r="K306" s="23"/>
      <c r="L306" s="23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</row>
    <row r="307">
      <c r="A307" s="17"/>
      <c r="B307" s="17"/>
      <c r="C307" s="17"/>
      <c r="D307" s="23"/>
      <c r="E307" s="38"/>
      <c r="F307" s="35"/>
      <c r="G307" s="22"/>
      <c r="H307" s="23"/>
      <c r="I307" s="17"/>
      <c r="J307" s="23"/>
      <c r="K307" s="23"/>
      <c r="L307" s="23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</row>
    <row r="308">
      <c r="A308" s="17"/>
      <c r="B308" s="17"/>
      <c r="C308" s="17"/>
      <c r="D308" s="23"/>
      <c r="E308" s="38"/>
      <c r="F308" s="35"/>
      <c r="G308" s="22"/>
      <c r="H308" s="23"/>
      <c r="I308" s="17"/>
      <c r="J308" s="23"/>
      <c r="K308" s="23"/>
      <c r="L308" s="23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</row>
    <row r="309">
      <c r="A309" s="17"/>
      <c r="B309" s="17"/>
      <c r="C309" s="17"/>
      <c r="D309" s="23"/>
      <c r="E309" s="38"/>
      <c r="F309" s="35"/>
      <c r="G309" s="22"/>
      <c r="H309" s="23"/>
      <c r="I309" s="17"/>
      <c r="J309" s="23"/>
      <c r="K309" s="23"/>
      <c r="L309" s="23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</row>
    <row r="310">
      <c r="A310" s="17"/>
      <c r="B310" s="17"/>
      <c r="C310" s="17"/>
      <c r="D310" s="23"/>
      <c r="E310" s="38"/>
      <c r="F310" s="35"/>
      <c r="G310" s="22"/>
      <c r="H310" s="23"/>
      <c r="I310" s="17"/>
      <c r="J310" s="23"/>
      <c r="K310" s="23"/>
      <c r="L310" s="23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</row>
    <row r="311">
      <c r="A311" s="17"/>
      <c r="B311" s="17"/>
      <c r="C311" s="17"/>
      <c r="D311" s="23"/>
      <c r="E311" s="38"/>
      <c r="F311" s="35"/>
      <c r="G311" s="22"/>
      <c r="H311" s="23"/>
      <c r="I311" s="17"/>
      <c r="J311" s="23"/>
      <c r="K311" s="23"/>
      <c r="L311" s="23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</row>
    <row r="312">
      <c r="A312" s="17"/>
      <c r="B312" s="17"/>
      <c r="C312" s="17"/>
      <c r="D312" s="23"/>
      <c r="E312" s="38"/>
      <c r="F312" s="35"/>
      <c r="G312" s="22"/>
      <c r="H312" s="23"/>
      <c r="I312" s="17"/>
      <c r="J312" s="23"/>
      <c r="K312" s="23"/>
      <c r="L312" s="23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</row>
    <row r="313">
      <c r="A313" s="17"/>
      <c r="B313" s="17"/>
      <c r="C313" s="17"/>
      <c r="D313" s="23"/>
      <c r="E313" s="38"/>
      <c r="F313" s="35"/>
      <c r="G313" s="22"/>
      <c r="H313" s="23"/>
      <c r="I313" s="17"/>
      <c r="J313" s="23"/>
      <c r="K313" s="23"/>
      <c r="L313" s="23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</row>
    <row r="314">
      <c r="A314" s="17"/>
      <c r="B314" s="17"/>
      <c r="C314" s="17"/>
      <c r="D314" s="23"/>
      <c r="E314" s="38"/>
      <c r="F314" s="35"/>
      <c r="G314" s="22"/>
      <c r="H314" s="23"/>
      <c r="I314" s="17"/>
      <c r="J314" s="23"/>
      <c r="K314" s="23"/>
      <c r="L314" s="23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</row>
    <row r="315">
      <c r="A315" s="17"/>
      <c r="B315" s="17"/>
      <c r="C315" s="17"/>
      <c r="D315" s="23"/>
      <c r="E315" s="38"/>
      <c r="F315" s="35"/>
      <c r="G315" s="22"/>
      <c r="H315" s="23"/>
      <c r="I315" s="17"/>
      <c r="J315" s="23"/>
      <c r="K315" s="23"/>
      <c r="L315" s="23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</row>
    <row r="316">
      <c r="A316" s="17"/>
      <c r="B316" s="17"/>
      <c r="C316" s="17"/>
      <c r="D316" s="23"/>
      <c r="E316" s="38"/>
      <c r="F316" s="35"/>
      <c r="G316" s="22"/>
      <c r="H316" s="23"/>
      <c r="I316" s="17"/>
      <c r="J316" s="23"/>
      <c r="K316" s="23"/>
      <c r="L316" s="23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</row>
    <row r="317">
      <c r="A317" s="17"/>
      <c r="B317" s="17"/>
      <c r="C317" s="17"/>
      <c r="D317" s="23"/>
      <c r="E317" s="38"/>
      <c r="F317" s="35"/>
      <c r="G317" s="22"/>
      <c r="H317" s="23"/>
      <c r="I317" s="17"/>
      <c r="J317" s="23"/>
      <c r="K317" s="23"/>
      <c r="L317" s="23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</row>
    <row r="318">
      <c r="A318" s="17"/>
      <c r="B318" s="17"/>
      <c r="C318" s="17"/>
      <c r="D318" s="23"/>
      <c r="E318" s="38"/>
      <c r="F318" s="35"/>
      <c r="G318" s="22"/>
      <c r="H318" s="23"/>
      <c r="I318" s="17"/>
      <c r="J318" s="23"/>
      <c r="K318" s="23"/>
      <c r="L318" s="23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</row>
    <row r="319">
      <c r="A319" s="17"/>
      <c r="B319" s="17"/>
      <c r="C319" s="17"/>
      <c r="D319" s="23"/>
      <c r="E319" s="38"/>
      <c r="F319" s="35"/>
      <c r="G319" s="22"/>
      <c r="H319" s="23"/>
      <c r="I319" s="17"/>
      <c r="J319" s="23"/>
      <c r="K319" s="23"/>
      <c r="L319" s="23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</row>
    <row r="320">
      <c r="A320" s="17"/>
      <c r="B320" s="17"/>
      <c r="C320" s="17"/>
      <c r="D320" s="23"/>
      <c r="E320" s="38"/>
      <c r="F320" s="35"/>
      <c r="G320" s="22"/>
      <c r="H320" s="23"/>
      <c r="I320" s="17"/>
      <c r="J320" s="23"/>
      <c r="K320" s="23"/>
      <c r="L320" s="23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</row>
    <row r="321">
      <c r="A321" s="17"/>
      <c r="B321" s="17"/>
      <c r="C321" s="17"/>
      <c r="D321" s="23"/>
      <c r="E321" s="38"/>
      <c r="F321" s="35"/>
      <c r="G321" s="22"/>
      <c r="H321" s="23"/>
      <c r="I321" s="17"/>
      <c r="J321" s="23"/>
      <c r="K321" s="23"/>
      <c r="L321" s="23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</row>
    <row r="322">
      <c r="A322" s="17"/>
      <c r="B322" s="17"/>
      <c r="C322" s="17"/>
      <c r="D322" s="23"/>
      <c r="E322" s="38"/>
      <c r="F322" s="35"/>
      <c r="G322" s="22"/>
      <c r="H322" s="23"/>
      <c r="I322" s="17"/>
      <c r="J322" s="23"/>
      <c r="K322" s="23"/>
      <c r="L322" s="23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</row>
    <row r="323">
      <c r="A323" s="17"/>
      <c r="B323" s="17"/>
      <c r="C323" s="17"/>
      <c r="D323" s="23"/>
      <c r="E323" s="38"/>
      <c r="F323" s="35"/>
      <c r="G323" s="22"/>
      <c r="H323" s="23"/>
      <c r="I323" s="17"/>
      <c r="J323" s="23"/>
      <c r="K323" s="23"/>
      <c r="L323" s="23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</row>
    <row r="324">
      <c r="A324" s="17"/>
      <c r="B324" s="17"/>
      <c r="C324" s="17"/>
      <c r="D324" s="23"/>
      <c r="E324" s="38"/>
      <c r="F324" s="35"/>
      <c r="G324" s="22"/>
      <c r="H324" s="23"/>
      <c r="I324" s="17"/>
      <c r="J324" s="23"/>
      <c r="K324" s="23"/>
      <c r="L324" s="23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</row>
    <row r="325">
      <c r="A325" s="17"/>
      <c r="B325" s="17"/>
      <c r="C325" s="17"/>
      <c r="D325" s="23"/>
      <c r="E325" s="38"/>
      <c r="F325" s="35"/>
      <c r="G325" s="22"/>
      <c r="H325" s="23"/>
      <c r="I325" s="17"/>
      <c r="J325" s="23"/>
      <c r="K325" s="23"/>
      <c r="L325" s="23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</row>
    <row r="326">
      <c r="A326" s="17"/>
      <c r="B326" s="17"/>
      <c r="C326" s="17"/>
      <c r="D326" s="23"/>
      <c r="E326" s="38"/>
      <c r="F326" s="35"/>
      <c r="G326" s="22"/>
      <c r="H326" s="23"/>
      <c r="I326" s="17"/>
      <c r="J326" s="23"/>
      <c r="K326" s="23"/>
      <c r="L326" s="23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</row>
    <row r="327">
      <c r="A327" s="17"/>
      <c r="B327" s="17"/>
      <c r="C327" s="17"/>
      <c r="D327" s="23"/>
      <c r="E327" s="38"/>
      <c r="F327" s="35"/>
      <c r="G327" s="22"/>
      <c r="H327" s="23"/>
      <c r="I327" s="17"/>
      <c r="J327" s="23"/>
      <c r="K327" s="23"/>
      <c r="L327" s="23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</row>
    <row r="328">
      <c r="A328" s="17"/>
      <c r="B328" s="17"/>
      <c r="C328" s="17"/>
      <c r="D328" s="23"/>
      <c r="E328" s="38"/>
      <c r="F328" s="35"/>
      <c r="G328" s="22"/>
      <c r="H328" s="23"/>
      <c r="I328" s="17"/>
      <c r="J328" s="23"/>
      <c r="K328" s="23"/>
      <c r="L328" s="23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>
      <c r="A329" s="17"/>
      <c r="B329" s="17"/>
      <c r="C329" s="17"/>
      <c r="D329" s="23"/>
      <c r="E329" s="38"/>
      <c r="F329" s="35"/>
      <c r="G329" s="22"/>
      <c r="H329" s="23"/>
      <c r="I329" s="17"/>
      <c r="J329" s="23"/>
      <c r="K329" s="23"/>
      <c r="L329" s="23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>
      <c r="A330" s="17"/>
      <c r="B330" s="17"/>
      <c r="C330" s="17"/>
      <c r="D330" s="23"/>
      <c r="E330" s="38"/>
      <c r="F330" s="35"/>
      <c r="G330" s="22"/>
      <c r="H330" s="23"/>
      <c r="I330" s="17"/>
      <c r="J330" s="23"/>
      <c r="K330" s="23"/>
      <c r="L330" s="23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</row>
    <row r="331">
      <c r="A331" s="17"/>
      <c r="B331" s="17"/>
      <c r="C331" s="17"/>
      <c r="D331" s="23"/>
      <c r="E331" s="38"/>
      <c r="F331" s="35"/>
      <c r="G331" s="22"/>
      <c r="H331" s="23"/>
      <c r="I331" s="17"/>
      <c r="J331" s="23"/>
      <c r="K331" s="23"/>
      <c r="L331" s="23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</row>
    <row r="332">
      <c r="A332" s="17"/>
      <c r="B332" s="17"/>
      <c r="C332" s="17"/>
      <c r="D332" s="23"/>
      <c r="E332" s="38"/>
      <c r="F332" s="35"/>
      <c r="G332" s="22"/>
      <c r="H332" s="23"/>
      <c r="I332" s="17"/>
      <c r="J332" s="23"/>
      <c r="K332" s="23"/>
      <c r="L332" s="23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</row>
    <row r="333">
      <c r="A333" s="17"/>
      <c r="B333" s="17"/>
      <c r="C333" s="17"/>
      <c r="D333" s="23"/>
      <c r="E333" s="38"/>
      <c r="F333" s="35"/>
      <c r="G333" s="22"/>
      <c r="H333" s="23"/>
      <c r="I333" s="17"/>
      <c r="J333" s="23"/>
      <c r="K333" s="23"/>
      <c r="L333" s="23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</row>
    <row r="334">
      <c r="A334" s="17"/>
      <c r="B334" s="17"/>
      <c r="C334" s="17"/>
      <c r="D334" s="23"/>
      <c r="E334" s="38"/>
      <c r="F334" s="35"/>
      <c r="G334" s="22"/>
      <c r="H334" s="23"/>
      <c r="I334" s="17"/>
      <c r="J334" s="23"/>
      <c r="K334" s="23"/>
      <c r="L334" s="23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</row>
    <row r="335">
      <c r="A335" s="17"/>
      <c r="B335" s="17"/>
      <c r="C335" s="17"/>
      <c r="D335" s="23"/>
      <c r="E335" s="38"/>
      <c r="F335" s="35"/>
      <c r="G335" s="22"/>
      <c r="H335" s="23"/>
      <c r="I335" s="17"/>
      <c r="J335" s="23"/>
      <c r="K335" s="23"/>
      <c r="L335" s="23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</row>
    <row r="336">
      <c r="A336" s="17"/>
      <c r="B336" s="17"/>
      <c r="C336" s="17"/>
      <c r="D336" s="23"/>
      <c r="E336" s="38"/>
      <c r="F336" s="35"/>
      <c r="G336" s="22"/>
      <c r="H336" s="23"/>
      <c r="I336" s="17"/>
      <c r="J336" s="23"/>
      <c r="K336" s="23"/>
      <c r="L336" s="23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</row>
    <row r="337">
      <c r="A337" s="17"/>
      <c r="B337" s="17"/>
      <c r="C337" s="17"/>
      <c r="D337" s="23"/>
      <c r="E337" s="38"/>
      <c r="F337" s="35"/>
      <c r="G337" s="22"/>
      <c r="H337" s="23"/>
      <c r="I337" s="17"/>
      <c r="J337" s="23"/>
      <c r="K337" s="23"/>
      <c r="L337" s="23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>
      <c r="A338" s="17"/>
      <c r="B338" s="17"/>
      <c r="C338" s="17"/>
      <c r="D338" s="23"/>
      <c r="E338" s="38"/>
      <c r="F338" s="35"/>
      <c r="G338" s="22"/>
      <c r="H338" s="23"/>
      <c r="I338" s="17"/>
      <c r="J338" s="23"/>
      <c r="K338" s="23"/>
      <c r="L338" s="23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</row>
    <row r="339">
      <c r="A339" s="17"/>
      <c r="B339" s="17"/>
      <c r="C339" s="17"/>
      <c r="D339" s="23"/>
      <c r="E339" s="38"/>
      <c r="F339" s="35"/>
      <c r="G339" s="22"/>
      <c r="H339" s="23"/>
      <c r="I339" s="17"/>
      <c r="J339" s="23"/>
      <c r="K339" s="23"/>
      <c r="L339" s="23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</row>
    <row r="340">
      <c r="A340" s="17"/>
      <c r="B340" s="17"/>
      <c r="C340" s="17"/>
      <c r="D340" s="23"/>
      <c r="E340" s="38"/>
      <c r="F340" s="35"/>
      <c r="G340" s="22"/>
      <c r="H340" s="23"/>
      <c r="I340" s="17"/>
      <c r="J340" s="23"/>
      <c r="K340" s="23"/>
      <c r="L340" s="23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>
      <c r="A341" s="17"/>
      <c r="B341" s="17"/>
      <c r="C341" s="17"/>
      <c r="D341" s="23"/>
      <c r="E341" s="38"/>
      <c r="F341" s="35"/>
      <c r="G341" s="22"/>
      <c r="H341" s="23"/>
      <c r="I341" s="17"/>
      <c r="J341" s="23"/>
      <c r="K341" s="23"/>
      <c r="L341" s="23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</row>
    <row r="342">
      <c r="A342" s="17"/>
      <c r="B342" s="17"/>
      <c r="C342" s="17"/>
      <c r="D342" s="23"/>
      <c r="E342" s="38"/>
      <c r="F342" s="35"/>
      <c r="G342" s="22"/>
      <c r="H342" s="23"/>
      <c r="I342" s="17"/>
      <c r="J342" s="23"/>
      <c r="K342" s="23"/>
      <c r="L342" s="23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</row>
    <row r="343">
      <c r="A343" s="17"/>
      <c r="B343" s="17"/>
      <c r="C343" s="17"/>
      <c r="D343" s="23"/>
      <c r="E343" s="38"/>
      <c r="F343" s="35"/>
      <c r="G343" s="22"/>
      <c r="H343" s="23"/>
      <c r="I343" s="17"/>
      <c r="J343" s="23"/>
      <c r="K343" s="23"/>
      <c r="L343" s="23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</row>
    <row r="344">
      <c r="A344" s="17"/>
      <c r="B344" s="17"/>
      <c r="C344" s="17"/>
      <c r="D344" s="23"/>
      <c r="E344" s="38"/>
      <c r="F344" s="35"/>
      <c r="G344" s="22"/>
      <c r="H344" s="23"/>
      <c r="I344" s="17"/>
      <c r="J344" s="23"/>
      <c r="K344" s="23"/>
      <c r="L344" s="23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>
      <c r="A345" s="17"/>
      <c r="B345" s="17"/>
      <c r="C345" s="17"/>
      <c r="D345" s="23"/>
      <c r="E345" s="38"/>
      <c r="F345" s="35"/>
      <c r="G345" s="22"/>
      <c r="H345" s="23"/>
      <c r="I345" s="17"/>
      <c r="J345" s="23"/>
      <c r="K345" s="23"/>
      <c r="L345" s="23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</row>
    <row r="346">
      <c r="A346" s="17"/>
      <c r="B346" s="17"/>
      <c r="C346" s="17"/>
      <c r="D346" s="23"/>
      <c r="E346" s="38"/>
      <c r="F346" s="35"/>
      <c r="G346" s="22"/>
      <c r="H346" s="23"/>
      <c r="I346" s="17"/>
      <c r="J346" s="23"/>
      <c r="K346" s="23"/>
      <c r="L346" s="23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</row>
    <row r="347">
      <c r="A347" s="17"/>
      <c r="B347" s="17"/>
      <c r="C347" s="17"/>
      <c r="D347" s="23"/>
      <c r="E347" s="38"/>
      <c r="F347" s="35"/>
      <c r="G347" s="22"/>
      <c r="H347" s="23"/>
      <c r="I347" s="17"/>
      <c r="J347" s="23"/>
      <c r="K347" s="23"/>
      <c r="L347" s="23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</row>
    <row r="348">
      <c r="A348" s="17"/>
      <c r="B348" s="17"/>
      <c r="C348" s="17"/>
      <c r="D348" s="23"/>
      <c r="E348" s="38"/>
      <c r="F348" s="35"/>
      <c r="G348" s="22"/>
      <c r="H348" s="23"/>
      <c r="I348" s="17"/>
      <c r="J348" s="23"/>
      <c r="K348" s="23"/>
      <c r="L348" s="23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</row>
    <row r="349">
      <c r="A349" s="17"/>
      <c r="B349" s="17"/>
      <c r="C349" s="17"/>
      <c r="D349" s="23"/>
      <c r="E349" s="38"/>
      <c r="F349" s="35"/>
      <c r="G349" s="22"/>
      <c r="H349" s="23"/>
      <c r="I349" s="17"/>
      <c r="J349" s="23"/>
      <c r="K349" s="23"/>
      <c r="L349" s="23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</row>
    <row r="350">
      <c r="A350" s="17"/>
      <c r="B350" s="17"/>
      <c r="C350" s="17"/>
      <c r="D350" s="23"/>
      <c r="E350" s="38"/>
      <c r="F350" s="35"/>
      <c r="G350" s="22"/>
      <c r="H350" s="23"/>
      <c r="I350" s="17"/>
      <c r="J350" s="23"/>
      <c r="K350" s="23"/>
      <c r="L350" s="23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</row>
    <row r="351">
      <c r="A351" s="17"/>
      <c r="B351" s="17"/>
      <c r="C351" s="17"/>
      <c r="D351" s="23"/>
      <c r="E351" s="38"/>
      <c r="F351" s="35"/>
      <c r="G351" s="22"/>
      <c r="H351" s="23"/>
      <c r="I351" s="17"/>
      <c r="J351" s="23"/>
      <c r="K351" s="23"/>
      <c r="L351" s="23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</row>
    <row r="352">
      <c r="A352" s="17"/>
      <c r="B352" s="17"/>
      <c r="C352" s="17"/>
      <c r="D352" s="23"/>
      <c r="E352" s="38"/>
      <c r="F352" s="35"/>
      <c r="G352" s="22"/>
      <c r="H352" s="23"/>
      <c r="I352" s="17"/>
      <c r="J352" s="23"/>
      <c r="K352" s="23"/>
      <c r="L352" s="23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</row>
    <row r="353">
      <c r="A353" s="17"/>
      <c r="B353" s="17"/>
      <c r="C353" s="17"/>
      <c r="D353" s="23"/>
      <c r="E353" s="38"/>
      <c r="F353" s="35"/>
      <c r="G353" s="22"/>
      <c r="H353" s="23"/>
      <c r="I353" s="17"/>
      <c r="J353" s="23"/>
      <c r="K353" s="23"/>
      <c r="L353" s="23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</row>
    <row r="354">
      <c r="A354" s="17"/>
      <c r="B354" s="17"/>
      <c r="C354" s="17"/>
      <c r="D354" s="23"/>
      <c r="E354" s="38"/>
      <c r="F354" s="35"/>
      <c r="G354" s="22"/>
      <c r="H354" s="23"/>
      <c r="I354" s="17"/>
      <c r="J354" s="23"/>
      <c r="K354" s="23"/>
      <c r="L354" s="23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</row>
    <row r="355">
      <c r="A355" s="17"/>
      <c r="B355" s="17"/>
      <c r="C355" s="17"/>
      <c r="D355" s="23"/>
      <c r="E355" s="38"/>
      <c r="F355" s="35"/>
      <c r="G355" s="22"/>
      <c r="H355" s="23"/>
      <c r="I355" s="17"/>
      <c r="J355" s="23"/>
      <c r="K355" s="23"/>
      <c r="L355" s="23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</row>
    <row r="356">
      <c r="A356" s="17"/>
      <c r="B356" s="17"/>
      <c r="C356" s="17"/>
      <c r="D356" s="23"/>
      <c r="E356" s="38"/>
      <c r="F356" s="35"/>
      <c r="G356" s="22"/>
      <c r="H356" s="23"/>
      <c r="I356" s="17"/>
      <c r="J356" s="23"/>
      <c r="K356" s="23"/>
      <c r="L356" s="23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</row>
    <row r="357">
      <c r="A357" s="17"/>
      <c r="B357" s="17"/>
      <c r="C357" s="17"/>
      <c r="D357" s="23"/>
      <c r="E357" s="38"/>
      <c r="F357" s="35"/>
      <c r="G357" s="22"/>
      <c r="H357" s="23"/>
      <c r="I357" s="17"/>
      <c r="J357" s="23"/>
      <c r="K357" s="23"/>
      <c r="L357" s="23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</row>
    <row r="358">
      <c r="A358" s="17"/>
      <c r="B358" s="17"/>
      <c r="C358" s="17"/>
      <c r="D358" s="23"/>
      <c r="E358" s="38"/>
      <c r="F358" s="35"/>
      <c r="G358" s="22"/>
      <c r="H358" s="23"/>
      <c r="I358" s="17"/>
      <c r="J358" s="23"/>
      <c r="K358" s="23"/>
      <c r="L358" s="23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</row>
    <row r="359">
      <c r="A359" s="17"/>
      <c r="B359" s="17"/>
      <c r="C359" s="17"/>
      <c r="D359" s="23"/>
      <c r="E359" s="38"/>
      <c r="F359" s="35"/>
      <c r="G359" s="22"/>
      <c r="H359" s="23"/>
      <c r="I359" s="17"/>
      <c r="J359" s="23"/>
      <c r="K359" s="23"/>
      <c r="L359" s="23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</row>
    <row r="360">
      <c r="A360" s="17"/>
      <c r="B360" s="17"/>
      <c r="C360" s="17"/>
      <c r="D360" s="23"/>
      <c r="E360" s="38"/>
      <c r="F360" s="35"/>
      <c r="G360" s="22"/>
      <c r="H360" s="23"/>
      <c r="I360" s="17"/>
      <c r="J360" s="23"/>
      <c r="K360" s="23"/>
      <c r="L360" s="23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</row>
    <row r="361">
      <c r="A361" s="17"/>
      <c r="B361" s="17"/>
      <c r="C361" s="17"/>
      <c r="D361" s="23"/>
      <c r="E361" s="38"/>
      <c r="F361" s="35"/>
      <c r="G361" s="22"/>
      <c r="H361" s="23"/>
      <c r="I361" s="17"/>
      <c r="J361" s="23"/>
      <c r="K361" s="23"/>
      <c r="L361" s="23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</row>
    <row r="362">
      <c r="A362" s="17"/>
      <c r="B362" s="17"/>
      <c r="C362" s="17"/>
      <c r="D362" s="23"/>
      <c r="E362" s="38"/>
      <c r="F362" s="35"/>
      <c r="G362" s="22"/>
      <c r="H362" s="23"/>
      <c r="I362" s="17"/>
      <c r="J362" s="23"/>
      <c r="K362" s="23"/>
      <c r="L362" s="23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</row>
    <row r="363">
      <c r="A363" s="17"/>
      <c r="B363" s="17"/>
      <c r="C363" s="17"/>
      <c r="D363" s="23"/>
      <c r="E363" s="38"/>
      <c r="F363" s="35"/>
      <c r="G363" s="22"/>
      <c r="H363" s="23"/>
      <c r="I363" s="17"/>
      <c r="J363" s="23"/>
      <c r="K363" s="23"/>
      <c r="L363" s="23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</row>
    <row r="364">
      <c r="A364" s="17"/>
      <c r="B364" s="17"/>
      <c r="C364" s="17"/>
      <c r="D364" s="23"/>
      <c r="E364" s="38"/>
      <c r="F364" s="35"/>
      <c r="G364" s="22"/>
      <c r="H364" s="23"/>
      <c r="I364" s="17"/>
      <c r="J364" s="23"/>
      <c r="K364" s="23"/>
      <c r="L364" s="23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</row>
    <row r="365">
      <c r="A365" s="17"/>
      <c r="B365" s="17"/>
      <c r="C365" s="17"/>
      <c r="D365" s="23"/>
      <c r="E365" s="38"/>
      <c r="F365" s="35"/>
      <c r="G365" s="22"/>
      <c r="H365" s="23"/>
      <c r="I365" s="17"/>
      <c r="J365" s="23"/>
      <c r="K365" s="23"/>
      <c r="L365" s="23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</row>
    <row r="366">
      <c r="A366" s="17"/>
      <c r="B366" s="17"/>
      <c r="C366" s="17"/>
      <c r="D366" s="23"/>
      <c r="E366" s="38"/>
      <c r="F366" s="35"/>
      <c r="G366" s="22"/>
      <c r="H366" s="23"/>
      <c r="I366" s="17"/>
      <c r="J366" s="23"/>
      <c r="K366" s="23"/>
      <c r="L366" s="23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</row>
    <row r="367">
      <c r="A367" s="17"/>
      <c r="B367" s="17"/>
      <c r="C367" s="17"/>
      <c r="D367" s="23"/>
      <c r="E367" s="38"/>
      <c r="F367" s="35"/>
      <c r="G367" s="22"/>
      <c r="H367" s="23"/>
      <c r="I367" s="17"/>
      <c r="J367" s="23"/>
      <c r="K367" s="23"/>
      <c r="L367" s="23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>
      <c r="A368" s="17"/>
      <c r="B368" s="17"/>
      <c r="C368" s="17"/>
      <c r="D368" s="23"/>
      <c r="E368" s="38"/>
      <c r="F368" s="35"/>
      <c r="G368" s="22"/>
      <c r="H368" s="23"/>
      <c r="I368" s="17"/>
      <c r="J368" s="23"/>
      <c r="K368" s="23"/>
      <c r="L368" s="23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>
      <c r="A369" s="17"/>
      <c r="B369" s="17"/>
      <c r="C369" s="17"/>
      <c r="D369" s="23"/>
      <c r="E369" s="38"/>
      <c r="F369" s="35"/>
      <c r="G369" s="22"/>
      <c r="H369" s="23"/>
      <c r="I369" s="17"/>
      <c r="J369" s="23"/>
      <c r="K369" s="23"/>
      <c r="L369" s="23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</row>
    <row r="370">
      <c r="A370" s="17"/>
      <c r="B370" s="17"/>
      <c r="C370" s="17"/>
      <c r="D370" s="23"/>
      <c r="E370" s="38"/>
      <c r="F370" s="35"/>
      <c r="G370" s="22"/>
      <c r="H370" s="23"/>
      <c r="I370" s="17"/>
      <c r="J370" s="23"/>
      <c r="K370" s="23"/>
      <c r="L370" s="23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</row>
    <row r="371">
      <c r="A371" s="17"/>
      <c r="B371" s="17"/>
      <c r="C371" s="17"/>
      <c r="D371" s="23"/>
      <c r="E371" s="38"/>
      <c r="F371" s="35"/>
      <c r="G371" s="22"/>
      <c r="H371" s="23"/>
      <c r="I371" s="17"/>
      <c r="J371" s="23"/>
      <c r="K371" s="23"/>
      <c r="L371" s="23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</row>
    <row r="372">
      <c r="A372" s="17"/>
      <c r="B372" s="17"/>
      <c r="C372" s="17"/>
      <c r="D372" s="23"/>
      <c r="E372" s="38"/>
      <c r="F372" s="35"/>
      <c r="G372" s="22"/>
      <c r="H372" s="23"/>
      <c r="I372" s="17"/>
      <c r="J372" s="23"/>
      <c r="K372" s="23"/>
      <c r="L372" s="23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</row>
    <row r="373">
      <c r="A373" s="17"/>
      <c r="B373" s="17"/>
      <c r="C373" s="17"/>
      <c r="D373" s="23"/>
      <c r="E373" s="38"/>
      <c r="F373" s="35"/>
      <c r="G373" s="22"/>
      <c r="H373" s="23"/>
      <c r="I373" s="17"/>
      <c r="J373" s="23"/>
      <c r="K373" s="23"/>
      <c r="L373" s="23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</row>
    <row r="374">
      <c r="A374" s="17"/>
      <c r="B374" s="17"/>
      <c r="C374" s="17"/>
      <c r="D374" s="23"/>
      <c r="E374" s="38"/>
      <c r="F374" s="35"/>
      <c r="G374" s="22"/>
      <c r="H374" s="23"/>
      <c r="I374" s="17"/>
      <c r="J374" s="23"/>
      <c r="K374" s="23"/>
      <c r="L374" s="23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</row>
    <row r="375">
      <c r="A375" s="17"/>
      <c r="B375" s="17"/>
      <c r="C375" s="17"/>
      <c r="D375" s="23"/>
      <c r="E375" s="38"/>
      <c r="F375" s="35"/>
      <c r="G375" s="22"/>
      <c r="H375" s="23"/>
      <c r="I375" s="17"/>
      <c r="J375" s="23"/>
      <c r="K375" s="23"/>
      <c r="L375" s="23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</row>
    <row r="376">
      <c r="A376" s="17"/>
      <c r="B376" s="17"/>
      <c r="C376" s="17"/>
      <c r="D376" s="23"/>
      <c r="E376" s="38"/>
      <c r="F376" s="35"/>
      <c r="G376" s="22"/>
      <c r="H376" s="23"/>
      <c r="I376" s="17"/>
      <c r="J376" s="23"/>
      <c r="K376" s="23"/>
      <c r="L376" s="23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>
      <c r="A377" s="17"/>
      <c r="B377" s="17"/>
      <c r="C377" s="17"/>
      <c r="D377" s="23"/>
      <c r="E377" s="38"/>
      <c r="F377" s="35"/>
      <c r="G377" s="22"/>
      <c r="H377" s="23"/>
      <c r="I377" s="17"/>
      <c r="J377" s="23"/>
      <c r="K377" s="23"/>
      <c r="L377" s="23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</row>
    <row r="378">
      <c r="A378" s="17"/>
      <c r="B378" s="17"/>
      <c r="C378" s="17"/>
      <c r="D378" s="23"/>
      <c r="E378" s="38"/>
      <c r="F378" s="35"/>
      <c r="G378" s="22"/>
      <c r="H378" s="23"/>
      <c r="I378" s="17"/>
      <c r="J378" s="23"/>
      <c r="K378" s="23"/>
      <c r="L378" s="23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</row>
    <row r="379">
      <c r="A379" s="17"/>
      <c r="B379" s="17"/>
      <c r="C379" s="17"/>
      <c r="D379" s="23"/>
      <c r="E379" s="38"/>
      <c r="F379" s="35"/>
      <c r="G379" s="22"/>
      <c r="H379" s="23"/>
      <c r="I379" s="17"/>
      <c r="J379" s="23"/>
      <c r="K379" s="23"/>
      <c r="L379" s="23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>
      <c r="A380" s="17"/>
      <c r="B380" s="17"/>
      <c r="C380" s="17"/>
      <c r="D380" s="23"/>
      <c r="E380" s="38"/>
      <c r="F380" s="35"/>
      <c r="G380" s="22"/>
      <c r="H380" s="23"/>
      <c r="I380" s="17"/>
      <c r="J380" s="23"/>
      <c r="K380" s="23"/>
      <c r="L380" s="23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</row>
    <row r="381">
      <c r="A381" s="17"/>
      <c r="B381" s="17"/>
      <c r="C381" s="17"/>
      <c r="D381" s="23"/>
      <c r="E381" s="38"/>
      <c r="F381" s="35"/>
      <c r="G381" s="22"/>
      <c r="H381" s="23"/>
      <c r="I381" s="17"/>
      <c r="J381" s="23"/>
      <c r="K381" s="23"/>
      <c r="L381" s="23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</row>
    <row r="382">
      <c r="A382" s="17"/>
      <c r="B382" s="17"/>
      <c r="C382" s="17"/>
      <c r="D382" s="23"/>
      <c r="E382" s="38"/>
      <c r="F382" s="35"/>
      <c r="G382" s="22"/>
      <c r="H382" s="23"/>
      <c r="I382" s="17"/>
      <c r="J382" s="23"/>
      <c r="K382" s="23"/>
      <c r="L382" s="23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</row>
    <row r="383">
      <c r="A383" s="17"/>
      <c r="B383" s="17"/>
      <c r="C383" s="17"/>
      <c r="D383" s="23"/>
      <c r="E383" s="38"/>
      <c r="F383" s="35"/>
      <c r="G383" s="22"/>
      <c r="H383" s="23"/>
      <c r="I383" s="17"/>
      <c r="J383" s="23"/>
      <c r="K383" s="23"/>
      <c r="L383" s="23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A384" s="17"/>
      <c r="B384" s="17"/>
      <c r="C384" s="17"/>
      <c r="D384" s="23"/>
      <c r="E384" s="38"/>
      <c r="F384" s="35"/>
      <c r="G384" s="22"/>
      <c r="H384" s="23"/>
      <c r="I384" s="17"/>
      <c r="J384" s="23"/>
      <c r="K384" s="23"/>
      <c r="L384" s="23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A385" s="17"/>
      <c r="B385" s="17"/>
      <c r="C385" s="17"/>
      <c r="D385" s="23"/>
      <c r="E385" s="38"/>
      <c r="F385" s="35"/>
      <c r="G385" s="22"/>
      <c r="H385" s="23"/>
      <c r="I385" s="17"/>
      <c r="J385" s="23"/>
      <c r="K385" s="23"/>
      <c r="L385" s="23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</row>
    <row r="386">
      <c r="A386" s="17"/>
      <c r="B386" s="17"/>
      <c r="C386" s="17"/>
      <c r="D386" s="23"/>
      <c r="E386" s="38"/>
      <c r="F386" s="35"/>
      <c r="G386" s="22"/>
      <c r="H386" s="23"/>
      <c r="I386" s="17"/>
      <c r="J386" s="23"/>
      <c r="K386" s="23"/>
      <c r="L386" s="23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</row>
    <row r="387">
      <c r="A387" s="17"/>
      <c r="B387" s="17"/>
      <c r="C387" s="17"/>
      <c r="D387" s="23"/>
      <c r="E387" s="38"/>
      <c r="F387" s="35"/>
      <c r="G387" s="22"/>
      <c r="H387" s="23"/>
      <c r="I387" s="17"/>
      <c r="J387" s="23"/>
      <c r="K387" s="23"/>
      <c r="L387" s="23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</row>
    <row r="388">
      <c r="A388" s="17"/>
      <c r="B388" s="17"/>
      <c r="C388" s="17"/>
      <c r="D388" s="23"/>
      <c r="E388" s="38"/>
      <c r="F388" s="35"/>
      <c r="G388" s="22"/>
      <c r="H388" s="23"/>
      <c r="I388" s="17"/>
      <c r="J388" s="23"/>
      <c r="K388" s="23"/>
      <c r="L388" s="23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</row>
    <row r="389">
      <c r="A389" s="17"/>
      <c r="B389" s="17"/>
      <c r="C389" s="17"/>
      <c r="D389" s="23"/>
      <c r="E389" s="38"/>
      <c r="F389" s="35"/>
      <c r="G389" s="22"/>
      <c r="H389" s="23"/>
      <c r="I389" s="17"/>
      <c r="J389" s="23"/>
      <c r="K389" s="23"/>
      <c r="L389" s="23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</row>
    <row r="390">
      <c r="A390" s="17"/>
      <c r="B390" s="17"/>
      <c r="C390" s="17"/>
      <c r="D390" s="23"/>
      <c r="E390" s="38"/>
      <c r="F390" s="35"/>
      <c r="G390" s="22"/>
      <c r="H390" s="23"/>
      <c r="I390" s="17"/>
      <c r="J390" s="23"/>
      <c r="K390" s="23"/>
      <c r="L390" s="23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A391" s="17"/>
      <c r="B391" s="17"/>
      <c r="C391" s="17"/>
      <c r="D391" s="23"/>
      <c r="E391" s="38"/>
      <c r="F391" s="35"/>
      <c r="G391" s="22"/>
      <c r="H391" s="23"/>
      <c r="I391" s="17"/>
      <c r="J391" s="23"/>
      <c r="K391" s="23"/>
      <c r="L391" s="23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</row>
    <row r="392">
      <c r="A392" s="17"/>
      <c r="B392" s="17"/>
      <c r="C392" s="17"/>
      <c r="D392" s="23"/>
      <c r="E392" s="38"/>
      <c r="F392" s="35"/>
      <c r="G392" s="22"/>
      <c r="H392" s="23"/>
      <c r="I392" s="17"/>
      <c r="J392" s="23"/>
      <c r="K392" s="23"/>
      <c r="L392" s="23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A393" s="17"/>
      <c r="B393" s="17"/>
      <c r="C393" s="17"/>
      <c r="D393" s="23"/>
      <c r="E393" s="38"/>
      <c r="F393" s="35"/>
      <c r="G393" s="22"/>
      <c r="H393" s="23"/>
      <c r="I393" s="17"/>
      <c r="J393" s="23"/>
      <c r="K393" s="23"/>
      <c r="L393" s="23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</row>
    <row r="394">
      <c r="A394" s="17"/>
      <c r="B394" s="17"/>
      <c r="C394" s="17"/>
      <c r="D394" s="23"/>
      <c r="E394" s="38"/>
      <c r="F394" s="35"/>
      <c r="G394" s="22"/>
      <c r="H394" s="23"/>
      <c r="I394" s="17"/>
      <c r="J394" s="23"/>
      <c r="K394" s="23"/>
      <c r="L394" s="23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A395" s="17"/>
      <c r="B395" s="17"/>
      <c r="C395" s="17"/>
      <c r="D395" s="23"/>
      <c r="E395" s="38"/>
      <c r="F395" s="35"/>
      <c r="G395" s="22"/>
      <c r="H395" s="23"/>
      <c r="I395" s="17"/>
      <c r="J395" s="23"/>
      <c r="K395" s="23"/>
      <c r="L395" s="23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A396" s="17"/>
      <c r="B396" s="17"/>
      <c r="C396" s="17"/>
      <c r="D396" s="23"/>
      <c r="E396" s="38"/>
      <c r="F396" s="35"/>
      <c r="G396" s="22"/>
      <c r="H396" s="23"/>
      <c r="I396" s="17"/>
      <c r="J396" s="23"/>
      <c r="K396" s="23"/>
      <c r="L396" s="23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A397" s="17"/>
      <c r="B397" s="17"/>
      <c r="C397" s="17"/>
      <c r="D397" s="23"/>
      <c r="E397" s="38"/>
      <c r="F397" s="35"/>
      <c r="G397" s="22"/>
      <c r="H397" s="23"/>
      <c r="I397" s="17"/>
      <c r="J397" s="23"/>
      <c r="K397" s="23"/>
      <c r="L397" s="23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A398" s="17"/>
      <c r="B398" s="17"/>
      <c r="C398" s="17"/>
      <c r="D398" s="23"/>
      <c r="E398" s="38"/>
      <c r="F398" s="35"/>
      <c r="G398" s="22"/>
      <c r="H398" s="23"/>
      <c r="I398" s="17"/>
      <c r="J398" s="23"/>
      <c r="K398" s="23"/>
      <c r="L398" s="23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</row>
    <row r="399">
      <c r="A399" s="17"/>
      <c r="B399" s="17"/>
      <c r="C399" s="17"/>
      <c r="D399" s="23"/>
      <c r="E399" s="38"/>
      <c r="F399" s="35"/>
      <c r="G399" s="22"/>
      <c r="H399" s="23"/>
      <c r="I399" s="17"/>
      <c r="J399" s="23"/>
      <c r="K399" s="23"/>
      <c r="L399" s="23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A400" s="17"/>
      <c r="B400" s="17"/>
      <c r="C400" s="17"/>
      <c r="D400" s="23"/>
      <c r="E400" s="38"/>
      <c r="F400" s="35"/>
      <c r="G400" s="22"/>
      <c r="H400" s="23"/>
      <c r="I400" s="17"/>
      <c r="J400" s="23"/>
      <c r="K400" s="23"/>
      <c r="L400" s="23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A401" s="17"/>
      <c r="B401" s="17"/>
      <c r="C401" s="17"/>
      <c r="D401" s="23"/>
      <c r="E401" s="38"/>
      <c r="F401" s="35"/>
      <c r="G401" s="22"/>
      <c r="H401" s="23"/>
      <c r="I401" s="17"/>
      <c r="J401" s="23"/>
      <c r="K401" s="23"/>
      <c r="L401" s="23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</row>
    <row r="402">
      <c r="A402" s="17"/>
      <c r="B402" s="17"/>
      <c r="C402" s="17"/>
      <c r="D402" s="23"/>
      <c r="E402" s="38"/>
      <c r="F402" s="35"/>
      <c r="G402" s="22"/>
      <c r="H402" s="23"/>
      <c r="I402" s="17"/>
      <c r="J402" s="23"/>
      <c r="K402" s="23"/>
      <c r="L402" s="23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</row>
    <row r="403">
      <c r="A403" s="17"/>
      <c r="B403" s="17"/>
      <c r="C403" s="17"/>
      <c r="D403" s="23"/>
      <c r="E403" s="38"/>
      <c r="F403" s="35"/>
      <c r="G403" s="22"/>
      <c r="H403" s="23"/>
      <c r="I403" s="17"/>
      <c r="J403" s="23"/>
      <c r="K403" s="23"/>
      <c r="L403" s="23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</row>
    <row r="404">
      <c r="A404" s="17"/>
      <c r="B404" s="17"/>
      <c r="C404" s="17"/>
      <c r="D404" s="23"/>
      <c r="E404" s="38"/>
      <c r="F404" s="35"/>
      <c r="G404" s="22"/>
      <c r="H404" s="23"/>
      <c r="I404" s="17"/>
      <c r="J404" s="23"/>
      <c r="K404" s="23"/>
      <c r="L404" s="23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</row>
    <row r="405">
      <c r="A405" s="17"/>
      <c r="B405" s="17"/>
      <c r="C405" s="17"/>
      <c r="D405" s="23"/>
      <c r="E405" s="38"/>
      <c r="F405" s="35"/>
      <c r="G405" s="22"/>
      <c r="H405" s="23"/>
      <c r="I405" s="17"/>
      <c r="J405" s="23"/>
      <c r="K405" s="23"/>
      <c r="L405" s="23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</row>
    <row r="406">
      <c r="A406" s="17"/>
      <c r="B406" s="17"/>
      <c r="C406" s="17"/>
      <c r="D406" s="23"/>
      <c r="E406" s="38"/>
      <c r="F406" s="35"/>
      <c r="G406" s="22"/>
      <c r="H406" s="23"/>
      <c r="I406" s="17"/>
      <c r="J406" s="23"/>
      <c r="K406" s="23"/>
      <c r="L406" s="23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>
      <c r="A407" s="17"/>
      <c r="B407" s="17"/>
      <c r="C407" s="17"/>
      <c r="D407" s="23"/>
      <c r="E407" s="38"/>
      <c r="F407" s="35"/>
      <c r="G407" s="22"/>
      <c r="H407" s="23"/>
      <c r="I407" s="17"/>
      <c r="J407" s="23"/>
      <c r="K407" s="23"/>
      <c r="L407" s="23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>
      <c r="A408" s="17"/>
      <c r="B408" s="17"/>
      <c r="C408" s="17"/>
      <c r="D408" s="23"/>
      <c r="E408" s="38"/>
      <c r="F408" s="35"/>
      <c r="G408" s="22"/>
      <c r="H408" s="23"/>
      <c r="I408" s="17"/>
      <c r="J408" s="23"/>
      <c r="K408" s="23"/>
      <c r="L408" s="23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</row>
    <row r="409">
      <c r="A409" s="17"/>
      <c r="B409" s="17"/>
      <c r="C409" s="17"/>
      <c r="D409" s="23"/>
      <c r="E409" s="38"/>
      <c r="F409" s="35"/>
      <c r="G409" s="22"/>
      <c r="H409" s="23"/>
      <c r="I409" s="17"/>
      <c r="J409" s="23"/>
      <c r="K409" s="23"/>
      <c r="L409" s="23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</row>
    <row r="410">
      <c r="A410" s="17"/>
      <c r="B410" s="17"/>
      <c r="C410" s="17"/>
      <c r="D410" s="23"/>
      <c r="E410" s="38"/>
      <c r="F410" s="35"/>
      <c r="G410" s="22"/>
      <c r="H410" s="23"/>
      <c r="I410" s="17"/>
      <c r="J410" s="23"/>
      <c r="K410" s="23"/>
      <c r="L410" s="23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</row>
    <row r="411">
      <c r="A411" s="17"/>
      <c r="B411" s="17"/>
      <c r="C411" s="17"/>
      <c r="D411" s="23"/>
      <c r="E411" s="38"/>
      <c r="F411" s="35"/>
      <c r="G411" s="22"/>
      <c r="H411" s="23"/>
      <c r="I411" s="17"/>
      <c r="J411" s="23"/>
      <c r="K411" s="23"/>
      <c r="L411" s="23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</row>
    <row r="412">
      <c r="A412" s="17"/>
      <c r="B412" s="17"/>
      <c r="C412" s="17"/>
      <c r="D412" s="23"/>
      <c r="E412" s="38"/>
      <c r="F412" s="35"/>
      <c r="G412" s="22"/>
      <c r="H412" s="23"/>
      <c r="I412" s="17"/>
      <c r="J412" s="23"/>
      <c r="K412" s="23"/>
      <c r="L412" s="23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</row>
    <row r="413">
      <c r="A413" s="17"/>
      <c r="B413" s="17"/>
      <c r="C413" s="17"/>
      <c r="D413" s="23"/>
      <c r="E413" s="38"/>
      <c r="F413" s="35"/>
      <c r="G413" s="22"/>
      <c r="H413" s="23"/>
      <c r="I413" s="17"/>
      <c r="J413" s="23"/>
      <c r="K413" s="23"/>
      <c r="L413" s="23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</row>
    <row r="414">
      <c r="A414" s="17"/>
      <c r="B414" s="17"/>
      <c r="C414" s="17"/>
      <c r="D414" s="23"/>
      <c r="E414" s="38"/>
      <c r="F414" s="35"/>
      <c r="G414" s="22"/>
      <c r="H414" s="23"/>
      <c r="I414" s="17"/>
      <c r="J414" s="23"/>
      <c r="K414" s="23"/>
      <c r="L414" s="23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</row>
    <row r="415">
      <c r="A415" s="17"/>
      <c r="B415" s="17"/>
      <c r="C415" s="17"/>
      <c r="D415" s="23"/>
      <c r="E415" s="38"/>
      <c r="F415" s="35"/>
      <c r="G415" s="22"/>
      <c r="H415" s="23"/>
      <c r="I415" s="17"/>
      <c r="J415" s="23"/>
      <c r="K415" s="23"/>
      <c r="L415" s="23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>
      <c r="A416" s="17"/>
      <c r="B416" s="17"/>
      <c r="C416" s="17"/>
      <c r="D416" s="23"/>
      <c r="E416" s="38"/>
      <c r="F416" s="35"/>
      <c r="G416" s="22"/>
      <c r="H416" s="23"/>
      <c r="I416" s="17"/>
      <c r="J416" s="23"/>
      <c r="K416" s="23"/>
      <c r="L416" s="23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</row>
    <row r="417">
      <c r="A417" s="17"/>
      <c r="B417" s="17"/>
      <c r="C417" s="17"/>
      <c r="D417" s="23"/>
      <c r="E417" s="38"/>
      <c r="F417" s="35"/>
      <c r="G417" s="22"/>
      <c r="H417" s="23"/>
      <c r="I417" s="17"/>
      <c r="J417" s="23"/>
      <c r="K417" s="23"/>
      <c r="L417" s="23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</row>
    <row r="418">
      <c r="A418" s="17"/>
      <c r="B418" s="17"/>
      <c r="C418" s="17"/>
      <c r="D418" s="23"/>
      <c r="E418" s="38"/>
      <c r="F418" s="35"/>
      <c r="G418" s="22"/>
      <c r="H418" s="23"/>
      <c r="I418" s="17"/>
      <c r="J418" s="23"/>
      <c r="K418" s="23"/>
      <c r="L418" s="23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>
      <c r="A419" s="17"/>
      <c r="B419" s="17"/>
      <c r="C419" s="17"/>
      <c r="D419" s="23"/>
      <c r="E419" s="38"/>
      <c r="F419" s="35"/>
      <c r="G419" s="22"/>
      <c r="H419" s="23"/>
      <c r="I419" s="17"/>
      <c r="J419" s="23"/>
      <c r="K419" s="23"/>
      <c r="L419" s="23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</row>
    <row r="420">
      <c r="A420" s="17"/>
      <c r="B420" s="17"/>
      <c r="C420" s="17"/>
      <c r="D420" s="23"/>
      <c r="E420" s="38"/>
      <c r="F420" s="35"/>
      <c r="G420" s="22"/>
      <c r="H420" s="23"/>
      <c r="I420" s="17"/>
      <c r="J420" s="23"/>
      <c r="K420" s="23"/>
      <c r="L420" s="23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</row>
    <row r="421">
      <c r="A421" s="17"/>
      <c r="B421" s="17"/>
      <c r="C421" s="17"/>
      <c r="D421" s="23"/>
      <c r="E421" s="38"/>
      <c r="F421" s="35"/>
      <c r="G421" s="22"/>
      <c r="H421" s="23"/>
      <c r="I421" s="17"/>
      <c r="J421" s="23"/>
      <c r="K421" s="23"/>
      <c r="L421" s="23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</row>
    <row r="422">
      <c r="A422" s="17"/>
      <c r="B422" s="17"/>
      <c r="C422" s="17"/>
      <c r="D422" s="23"/>
      <c r="E422" s="38"/>
      <c r="F422" s="35"/>
      <c r="G422" s="22"/>
      <c r="H422" s="23"/>
      <c r="I422" s="17"/>
      <c r="J422" s="23"/>
      <c r="K422" s="23"/>
      <c r="L422" s="23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>
      <c r="A423" s="17"/>
      <c r="B423" s="17"/>
      <c r="C423" s="17"/>
      <c r="D423" s="23"/>
      <c r="E423" s="38"/>
      <c r="F423" s="35"/>
      <c r="G423" s="22"/>
      <c r="H423" s="23"/>
      <c r="I423" s="17"/>
      <c r="J423" s="23"/>
      <c r="K423" s="23"/>
      <c r="L423" s="23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</row>
    <row r="424">
      <c r="A424" s="17"/>
      <c r="B424" s="17"/>
      <c r="C424" s="17"/>
      <c r="D424" s="23"/>
      <c r="E424" s="38"/>
      <c r="F424" s="35"/>
      <c r="G424" s="22"/>
      <c r="H424" s="23"/>
      <c r="I424" s="17"/>
      <c r="J424" s="23"/>
      <c r="K424" s="23"/>
      <c r="L424" s="23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</row>
    <row r="425">
      <c r="A425" s="17"/>
      <c r="B425" s="17"/>
      <c r="C425" s="17"/>
      <c r="D425" s="23"/>
      <c r="E425" s="38"/>
      <c r="F425" s="35"/>
      <c r="G425" s="22"/>
      <c r="H425" s="23"/>
      <c r="I425" s="17"/>
      <c r="J425" s="23"/>
      <c r="K425" s="23"/>
      <c r="L425" s="23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</row>
    <row r="426">
      <c r="A426" s="17"/>
      <c r="B426" s="17"/>
      <c r="C426" s="17"/>
      <c r="D426" s="23"/>
      <c r="E426" s="38"/>
      <c r="F426" s="35"/>
      <c r="G426" s="22"/>
      <c r="H426" s="23"/>
      <c r="I426" s="17"/>
      <c r="J426" s="23"/>
      <c r="K426" s="23"/>
      <c r="L426" s="23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</row>
    <row r="427">
      <c r="A427" s="17"/>
      <c r="B427" s="17"/>
      <c r="C427" s="17"/>
      <c r="D427" s="23"/>
      <c r="E427" s="38"/>
      <c r="F427" s="35"/>
      <c r="G427" s="22"/>
      <c r="H427" s="23"/>
      <c r="I427" s="17"/>
      <c r="J427" s="23"/>
      <c r="K427" s="23"/>
      <c r="L427" s="23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</row>
    <row r="428">
      <c r="A428" s="17"/>
      <c r="B428" s="17"/>
      <c r="C428" s="17"/>
      <c r="D428" s="23"/>
      <c r="E428" s="38"/>
      <c r="F428" s="35"/>
      <c r="G428" s="22"/>
      <c r="H428" s="23"/>
      <c r="I428" s="17"/>
      <c r="J428" s="23"/>
      <c r="K428" s="23"/>
      <c r="L428" s="23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</row>
    <row r="429">
      <c r="A429" s="17"/>
      <c r="B429" s="17"/>
      <c r="C429" s="17"/>
      <c r="D429" s="23"/>
      <c r="E429" s="38"/>
      <c r="F429" s="35"/>
      <c r="G429" s="22"/>
      <c r="H429" s="23"/>
      <c r="I429" s="17"/>
      <c r="J429" s="23"/>
      <c r="K429" s="23"/>
      <c r="L429" s="23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</row>
    <row r="430">
      <c r="A430" s="17"/>
      <c r="B430" s="17"/>
      <c r="C430" s="17"/>
      <c r="D430" s="23"/>
      <c r="E430" s="38"/>
      <c r="F430" s="35"/>
      <c r="G430" s="22"/>
      <c r="H430" s="23"/>
      <c r="I430" s="17"/>
      <c r="J430" s="23"/>
      <c r="K430" s="23"/>
      <c r="L430" s="23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</row>
    <row r="431">
      <c r="A431" s="17"/>
      <c r="B431" s="17"/>
      <c r="C431" s="17"/>
      <c r="D431" s="23"/>
      <c r="E431" s="38"/>
      <c r="F431" s="35"/>
      <c r="G431" s="22"/>
      <c r="H431" s="23"/>
      <c r="I431" s="17"/>
      <c r="J431" s="23"/>
      <c r="K431" s="23"/>
      <c r="L431" s="23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</row>
    <row r="432">
      <c r="A432" s="17"/>
      <c r="B432" s="17"/>
      <c r="C432" s="17"/>
      <c r="D432" s="23"/>
      <c r="E432" s="38"/>
      <c r="F432" s="35"/>
      <c r="G432" s="22"/>
      <c r="H432" s="23"/>
      <c r="I432" s="17"/>
      <c r="J432" s="23"/>
      <c r="K432" s="23"/>
      <c r="L432" s="23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</row>
    <row r="433">
      <c r="A433" s="17"/>
      <c r="B433" s="17"/>
      <c r="C433" s="17"/>
      <c r="D433" s="23"/>
      <c r="E433" s="38"/>
      <c r="F433" s="35"/>
      <c r="G433" s="22"/>
      <c r="H433" s="23"/>
      <c r="I433" s="17"/>
      <c r="J433" s="23"/>
      <c r="K433" s="23"/>
      <c r="L433" s="23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</row>
    <row r="434">
      <c r="A434" s="17"/>
      <c r="B434" s="17"/>
      <c r="C434" s="17"/>
      <c r="D434" s="23"/>
      <c r="E434" s="38"/>
      <c r="F434" s="35"/>
      <c r="G434" s="22"/>
      <c r="H434" s="23"/>
      <c r="I434" s="17"/>
      <c r="J434" s="23"/>
      <c r="K434" s="23"/>
      <c r="L434" s="23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</row>
    <row r="435">
      <c r="A435" s="17"/>
      <c r="B435" s="17"/>
      <c r="C435" s="17"/>
      <c r="D435" s="23"/>
      <c r="E435" s="38"/>
      <c r="F435" s="35"/>
      <c r="G435" s="22"/>
      <c r="H435" s="23"/>
      <c r="I435" s="17"/>
      <c r="J435" s="23"/>
      <c r="K435" s="23"/>
      <c r="L435" s="23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</row>
    <row r="436">
      <c r="A436" s="17"/>
      <c r="B436" s="17"/>
      <c r="C436" s="17"/>
      <c r="D436" s="23"/>
      <c r="E436" s="38"/>
      <c r="F436" s="35"/>
      <c r="G436" s="22"/>
      <c r="H436" s="23"/>
      <c r="I436" s="17"/>
      <c r="J436" s="23"/>
      <c r="K436" s="23"/>
      <c r="L436" s="23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</row>
    <row r="437">
      <c r="A437" s="17"/>
      <c r="B437" s="17"/>
      <c r="C437" s="17"/>
      <c r="D437" s="23"/>
      <c r="E437" s="38"/>
      <c r="F437" s="35"/>
      <c r="G437" s="22"/>
      <c r="H437" s="23"/>
      <c r="I437" s="17"/>
      <c r="J437" s="23"/>
      <c r="K437" s="23"/>
      <c r="L437" s="23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</row>
    <row r="438">
      <c r="A438" s="17"/>
      <c r="B438" s="17"/>
      <c r="C438" s="17"/>
      <c r="D438" s="23"/>
      <c r="E438" s="38"/>
      <c r="F438" s="35"/>
      <c r="G438" s="22"/>
      <c r="H438" s="23"/>
      <c r="I438" s="17"/>
      <c r="J438" s="23"/>
      <c r="K438" s="23"/>
      <c r="L438" s="23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</row>
    <row r="439">
      <c r="A439" s="17"/>
      <c r="B439" s="17"/>
      <c r="C439" s="17"/>
      <c r="D439" s="23"/>
      <c r="E439" s="38"/>
      <c r="F439" s="35"/>
      <c r="G439" s="22"/>
      <c r="H439" s="23"/>
      <c r="I439" s="17"/>
      <c r="J439" s="23"/>
      <c r="K439" s="23"/>
      <c r="L439" s="23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</row>
    <row r="440">
      <c r="A440" s="17"/>
      <c r="B440" s="17"/>
      <c r="C440" s="17"/>
      <c r="D440" s="23"/>
      <c r="E440" s="38"/>
      <c r="F440" s="35"/>
      <c r="G440" s="22"/>
      <c r="H440" s="23"/>
      <c r="I440" s="17"/>
      <c r="J440" s="23"/>
      <c r="K440" s="23"/>
      <c r="L440" s="23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</row>
    <row r="441">
      <c r="A441" s="17"/>
      <c r="B441" s="17"/>
      <c r="C441" s="17"/>
      <c r="D441" s="23"/>
      <c r="E441" s="38"/>
      <c r="F441" s="35"/>
      <c r="G441" s="22"/>
      <c r="H441" s="23"/>
      <c r="I441" s="17"/>
      <c r="J441" s="23"/>
      <c r="K441" s="23"/>
      <c r="L441" s="23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</row>
    <row r="442">
      <c r="A442" s="17"/>
      <c r="B442" s="17"/>
      <c r="C442" s="17"/>
      <c r="D442" s="23"/>
      <c r="E442" s="38"/>
      <c r="F442" s="35"/>
      <c r="G442" s="22"/>
      <c r="H442" s="23"/>
      <c r="I442" s="17"/>
      <c r="J442" s="23"/>
      <c r="K442" s="23"/>
      <c r="L442" s="23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</row>
    <row r="443">
      <c r="A443" s="17"/>
      <c r="B443" s="17"/>
      <c r="C443" s="17"/>
      <c r="D443" s="23"/>
      <c r="E443" s="38"/>
      <c r="F443" s="35"/>
      <c r="G443" s="22"/>
      <c r="H443" s="23"/>
      <c r="I443" s="17"/>
      <c r="J443" s="23"/>
      <c r="K443" s="23"/>
      <c r="L443" s="23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</row>
    <row r="444">
      <c r="A444" s="17"/>
      <c r="B444" s="17"/>
      <c r="C444" s="17"/>
      <c r="D444" s="23"/>
      <c r="E444" s="38"/>
      <c r="F444" s="35"/>
      <c r="G444" s="22"/>
      <c r="H444" s="23"/>
      <c r="I444" s="17"/>
      <c r="J444" s="23"/>
      <c r="K444" s="23"/>
      <c r="L444" s="23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</row>
    <row r="445">
      <c r="A445" s="17"/>
      <c r="B445" s="17"/>
      <c r="C445" s="17"/>
      <c r="D445" s="23"/>
      <c r="E445" s="38"/>
      <c r="F445" s="35"/>
      <c r="G445" s="22"/>
      <c r="H445" s="23"/>
      <c r="I445" s="17"/>
      <c r="J445" s="23"/>
      <c r="K445" s="23"/>
      <c r="L445" s="23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>
      <c r="A446" s="17"/>
      <c r="B446" s="17"/>
      <c r="C446" s="17"/>
      <c r="D446" s="23"/>
      <c r="E446" s="38"/>
      <c r="F446" s="35"/>
      <c r="G446" s="22"/>
      <c r="H446" s="23"/>
      <c r="I446" s="17"/>
      <c r="J446" s="23"/>
      <c r="K446" s="23"/>
      <c r="L446" s="23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>
      <c r="A447" s="17"/>
      <c r="B447" s="17"/>
      <c r="C447" s="17"/>
      <c r="D447" s="23"/>
      <c r="E447" s="38"/>
      <c r="F447" s="35"/>
      <c r="G447" s="22"/>
      <c r="H447" s="23"/>
      <c r="I447" s="17"/>
      <c r="J447" s="23"/>
      <c r="K447" s="23"/>
      <c r="L447" s="23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</row>
    <row r="448">
      <c r="A448" s="17"/>
      <c r="B448" s="17"/>
      <c r="C448" s="17"/>
      <c r="D448" s="23"/>
      <c r="E448" s="38"/>
      <c r="F448" s="35"/>
      <c r="G448" s="22"/>
      <c r="H448" s="23"/>
      <c r="I448" s="17"/>
      <c r="J448" s="23"/>
      <c r="K448" s="23"/>
      <c r="L448" s="23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</row>
    <row r="449">
      <c r="A449" s="17"/>
      <c r="B449" s="17"/>
      <c r="C449" s="17"/>
      <c r="D449" s="23"/>
      <c r="E449" s="38"/>
      <c r="F449" s="35"/>
      <c r="G449" s="22"/>
      <c r="H449" s="23"/>
      <c r="I449" s="17"/>
      <c r="J449" s="23"/>
      <c r="K449" s="23"/>
      <c r="L449" s="23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</row>
    <row r="450">
      <c r="A450" s="17"/>
      <c r="B450" s="17"/>
      <c r="C450" s="17"/>
      <c r="D450" s="23"/>
      <c r="E450" s="38"/>
      <c r="F450" s="35"/>
      <c r="G450" s="22"/>
      <c r="H450" s="23"/>
      <c r="I450" s="17"/>
      <c r="J450" s="23"/>
      <c r="K450" s="23"/>
      <c r="L450" s="23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</row>
    <row r="451">
      <c r="A451" s="17"/>
      <c r="B451" s="17"/>
      <c r="C451" s="17"/>
      <c r="D451" s="23"/>
      <c r="E451" s="38"/>
      <c r="F451" s="35"/>
      <c r="G451" s="22"/>
      <c r="H451" s="23"/>
      <c r="I451" s="17"/>
      <c r="J451" s="23"/>
      <c r="K451" s="23"/>
      <c r="L451" s="23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</row>
    <row r="452">
      <c r="A452" s="17"/>
      <c r="B452" s="17"/>
      <c r="C452" s="17"/>
      <c r="D452" s="23"/>
      <c r="E452" s="38"/>
      <c r="F452" s="35"/>
      <c r="G452" s="22"/>
      <c r="H452" s="23"/>
      <c r="I452" s="17"/>
      <c r="J452" s="23"/>
      <c r="K452" s="23"/>
      <c r="L452" s="23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</row>
    <row r="453">
      <c r="A453" s="17"/>
      <c r="B453" s="17"/>
      <c r="C453" s="17"/>
      <c r="D453" s="23"/>
      <c r="E453" s="38"/>
      <c r="F453" s="35"/>
      <c r="G453" s="22"/>
      <c r="H453" s="23"/>
      <c r="I453" s="17"/>
      <c r="J453" s="23"/>
      <c r="K453" s="23"/>
      <c r="L453" s="23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</row>
    <row r="454">
      <c r="A454" s="17"/>
      <c r="B454" s="17"/>
      <c r="C454" s="17"/>
      <c r="D454" s="23"/>
      <c r="E454" s="38"/>
      <c r="F454" s="35"/>
      <c r="G454" s="22"/>
      <c r="H454" s="23"/>
      <c r="I454" s="17"/>
      <c r="J454" s="23"/>
      <c r="K454" s="23"/>
      <c r="L454" s="23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>
      <c r="A455" s="17"/>
      <c r="B455" s="17"/>
      <c r="C455" s="17"/>
      <c r="D455" s="23"/>
      <c r="E455" s="38"/>
      <c r="F455" s="35"/>
      <c r="G455" s="22"/>
      <c r="H455" s="23"/>
      <c r="I455" s="17"/>
      <c r="J455" s="23"/>
      <c r="K455" s="23"/>
      <c r="L455" s="23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</row>
    <row r="456">
      <c r="A456" s="17"/>
      <c r="B456" s="17"/>
      <c r="C456" s="17"/>
      <c r="D456" s="23"/>
      <c r="E456" s="38"/>
      <c r="F456" s="35"/>
      <c r="G456" s="22"/>
      <c r="H456" s="23"/>
      <c r="I456" s="17"/>
      <c r="J456" s="23"/>
      <c r="K456" s="23"/>
      <c r="L456" s="23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</row>
    <row r="457">
      <c r="A457" s="17"/>
      <c r="B457" s="17"/>
      <c r="C457" s="17"/>
      <c r="D457" s="23"/>
      <c r="E457" s="38"/>
      <c r="F457" s="35"/>
      <c r="G457" s="22"/>
      <c r="H457" s="23"/>
      <c r="I457" s="17"/>
      <c r="J457" s="23"/>
      <c r="K457" s="23"/>
      <c r="L457" s="23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>
      <c r="A458" s="17"/>
      <c r="B458" s="17"/>
      <c r="C458" s="17"/>
      <c r="D458" s="23"/>
      <c r="E458" s="38"/>
      <c r="F458" s="35"/>
      <c r="G458" s="22"/>
      <c r="H458" s="23"/>
      <c r="I458" s="17"/>
      <c r="J458" s="23"/>
      <c r="K458" s="23"/>
      <c r="L458" s="23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</row>
    <row r="459">
      <c r="A459" s="17"/>
      <c r="B459" s="17"/>
      <c r="C459" s="17"/>
      <c r="D459" s="23"/>
      <c r="E459" s="38"/>
      <c r="F459" s="35"/>
      <c r="G459" s="22"/>
      <c r="H459" s="23"/>
      <c r="I459" s="17"/>
      <c r="J459" s="23"/>
      <c r="K459" s="23"/>
      <c r="L459" s="23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</row>
    <row r="460">
      <c r="A460" s="17"/>
      <c r="B460" s="17"/>
      <c r="C460" s="17"/>
      <c r="D460" s="23"/>
      <c r="E460" s="38"/>
      <c r="F460" s="35"/>
      <c r="G460" s="22"/>
      <c r="H460" s="23"/>
      <c r="I460" s="17"/>
      <c r="J460" s="23"/>
      <c r="K460" s="23"/>
      <c r="L460" s="23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</row>
    <row r="461">
      <c r="A461" s="17"/>
      <c r="B461" s="17"/>
      <c r="C461" s="17"/>
      <c r="D461" s="23"/>
      <c r="E461" s="38"/>
      <c r="F461" s="35"/>
      <c r="G461" s="22"/>
      <c r="H461" s="23"/>
      <c r="I461" s="17"/>
      <c r="J461" s="23"/>
      <c r="K461" s="23"/>
      <c r="L461" s="23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>
      <c r="A462" s="17"/>
      <c r="B462" s="17"/>
      <c r="C462" s="17"/>
      <c r="D462" s="23"/>
      <c r="E462" s="38"/>
      <c r="F462" s="35"/>
      <c r="G462" s="22"/>
      <c r="H462" s="23"/>
      <c r="I462" s="17"/>
      <c r="J462" s="23"/>
      <c r="K462" s="23"/>
      <c r="L462" s="23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</row>
    <row r="463">
      <c r="A463" s="17"/>
      <c r="B463" s="17"/>
      <c r="C463" s="17"/>
      <c r="D463" s="23"/>
      <c r="E463" s="38"/>
      <c r="F463" s="35"/>
      <c r="G463" s="22"/>
      <c r="H463" s="23"/>
      <c r="I463" s="17"/>
      <c r="J463" s="23"/>
      <c r="K463" s="23"/>
      <c r="L463" s="23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</row>
    <row r="464">
      <c r="A464" s="17"/>
      <c r="B464" s="17"/>
      <c r="C464" s="17"/>
      <c r="D464" s="23"/>
      <c r="E464" s="38"/>
      <c r="F464" s="35"/>
      <c r="G464" s="22"/>
      <c r="H464" s="23"/>
      <c r="I464" s="17"/>
      <c r="J464" s="23"/>
      <c r="K464" s="23"/>
      <c r="L464" s="23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</row>
    <row r="465">
      <c r="A465" s="17"/>
      <c r="B465" s="17"/>
      <c r="C465" s="17"/>
      <c r="D465" s="23"/>
      <c r="E465" s="38"/>
      <c r="F465" s="35"/>
      <c r="G465" s="22"/>
      <c r="H465" s="23"/>
      <c r="I465" s="17"/>
      <c r="J465" s="23"/>
      <c r="K465" s="23"/>
      <c r="L465" s="23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</row>
    <row r="466">
      <c r="A466" s="17"/>
      <c r="B466" s="17"/>
      <c r="C466" s="17"/>
      <c r="D466" s="23"/>
      <c r="E466" s="38"/>
      <c r="F466" s="35"/>
      <c r="G466" s="22"/>
      <c r="H466" s="23"/>
      <c r="I466" s="17"/>
      <c r="J466" s="23"/>
      <c r="K466" s="23"/>
      <c r="L466" s="23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</row>
    <row r="467">
      <c r="A467" s="17"/>
      <c r="B467" s="17"/>
      <c r="C467" s="17"/>
      <c r="D467" s="23"/>
      <c r="E467" s="38"/>
      <c r="F467" s="35"/>
      <c r="G467" s="22"/>
      <c r="H467" s="23"/>
      <c r="I467" s="17"/>
      <c r="J467" s="23"/>
      <c r="K467" s="23"/>
      <c r="L467" s="23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</row>
    <row r="468">
      <c r="A468" s="17"/>
      <c r="B468" s="17"/>
      <c r="C468" s="17"/>
      <c r="D468" s="23"/>
      <c r="E468" s="38"/>
      <c r="F468" s="35"/>
      <c r="G468" s="22"/>
      <c r="H468" s="23"/>
      <c r="I468" s="17"/>
      <c r="J468" s="23"/>
      <c r="K468" s="23"/>
      <c r="L468" s="23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</row>
    <row r="469">
      <c r="A469" s="17"/>
      <c r="B469" s="17"/>
      <c r="C469" s="17"/>
      <c r="D469" s="23"/>
      <c r="E469" s="38"/>
      <c r="F469" s="35"/>
      <c r="G469" s="22"/>
      <c r="H469" s="23"/>
      <c r="I469" s="17"/>
      <c r="J469" s="23"/>
      <c r="K469" s="23"/>
      <c r="L469" s="23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</row>
    <row r="470">
      <c r="A470" s="17"/>
      <c r="B470" s="17"/>
      <c r="C470" s="17"/>
      <c r="D470" s="23"/>
      <c r="E470" s="38"/>
      <c r="F470" s="35"/>
      <c r="G470" s="22"/>
      <c r="H470" s="23"/>
      <c r="I470" s="17"/>
      <c r="J470" s="23"/>
      <c r="K470" s="23"/>
      <c r="L470" s="23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</row>
    <row r="471">
      <c r="A471" s="17"/>
      <c r="B471" s="17"/>
      <c r="C471" s="17"/>
      <c r="D471" s="23"/>
      <c r="E471" s="38"/>
      <c r="F471" s="35"/>
      <c r="G471" s="22"/>
      <c r="H471" s="23"/>
      <c r="I471" s="17"/>
      <c r="J471" s="23"/>
      <c r="K471" s="23"/>
      <c r="L471" s="23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</row>
    <row r="472">
      <c r="A472" s="17"/>
      <c r="B472" s="17"/>
      <c r="C472" s="17"/>
      <c r="D472" s="23"/>
      <c r="E472" s="38"/>
      <c r="F472" s="35"/>
      <c r="G472" s="22"/>
      <c r="H472" s="23"/>
      <c r="I472" s="17"/>
      <c r="J472" s="23"/>
      <c r="K472" s="23"/>
      <c r="L472" s="23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</row>
    <row r="473">
      <c r="A473" s="17"/>
      <c r="B473" s="17"/>
      <c r="C473" s="17"/>
      <c r="D473" s="23"/>
      <c r="E473" s="38"/>
      <c r="F473" s="35"/>
      <c r="G473" s="22"/>
      <c r="H473" s="23"/>
      <c r="I473" s="17"/>
      <c r="J473" s="23"/>
      <c r="K473" s="23"/>
      <c r="L473" s="23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</row>
    <row r="474">
      <c r="A474" s="17"/>
      <c r="B474" s="17"/>
      <c r="C474" s="17"/>
      <c r="D474" s="23"/>
      <c r="E474" s="38"/>
      <c r="F474" s="35"/>
      <c r="G474" s="22"/>
      <c r="H474" s="23"/>
      <c r="I474" s="17"/>
      <c r="J474" s="23"/>
      <c r="K474" s="23"/>
      <c r="L474" s="23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</row>
    <row r="475">
      <c r="A475" s="17"/>
      <c r="B475" s="17"/>
      <c r="C475" s="17"/>
      <c r="D475" s="23"/>
      <c r="E475" s="38"/>
      <c r="F475" s="35"/>
      <c r="G475" s="22"/>
      <c r="H475" s="23"/>
      <c r="I475" s="17"/>
      <c r="J475" s="23"/>
      <c r="K475" s="23"/>
      <c r="L475" s="23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</row>
    <row r="476">
      <c r="A476" s="17"/>
      <c r="B476" s="17"/>
      <c r="C476" s="17"/>
      <c r="D476" s="23"/>
      <c r="E476" s="38"/>
      <c r="F476" s="35"/>
      <c r="G476" s="22"/>
      <c r="H476" s="23"/>
      <c r="I476" s="17"/>
      <c r="J476" s="23"/>
      <c r="K476" s="23"/>
      <c r="L476" s="23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</row>
    <row r="477">
      <c r="A477" s="17"/>
      <c r="B477" s="17"/>
      <c r="C477" s="17"/>
      <c r="D477" s="23"/>
      <c r="E477" s="38"/>
      <c r="F477" s="35"/>
      <c r="G477" s="22"/>
      <c r="H477" s="23"/>
      <c r="I477" s="17"/>
      <c r="J477" s="23"/>
      <c r="K477" s="23"/>
      <c r="L477" s="23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</row>
    <row r="478">
      <c r="A478" s="17"/>
      <c r="B478" s="17"/>
      <c r="C478" s="17"/>
      <c r="D478" s="23"/>
      <c r="E478" s="38"/>
      <c r="F478" s="35"/>
      <c r="G478" s="22"/>
      <c r="H478" s="23"/>
      <c r="I478" s="17"/>
      <c r="J478" s="23"/>
      <c r="K478" s="23"/>
      <c r="L478" s="23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>
      <c r="A479" s="17"/>
      <c r="B479" s="17"/>
      <c r="C479" s="17"/>
      <c r="D479" s="23"/>
      <c r="E479" s="38"/>
      <c r="F479" s="35"/>
      <c r="G479" s="22"/>
      <c r="H479" s="23"/>
      <c r="I479" s="17"/>
      <c r="J479" s="23"/>
      <c r="K479" s="23"/>
      <c r="L479" s="23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</row>
    <row r="480">
      <c r="A480" s="17"/>
      <c r="B480" s="17"/>
      <c r="C480" s="17"/>
      <c r="D480" s="23"/>
      <c r="E480" s="38"/>
      <c r="F480" s="35"/>
      <c r="G480" s="22"/>
      <c r="H480" s="23"/>
      <c r="I480" s="17"/>
      <c r="J480" s="23"/>
      <c r="K480" s="23"/>
      <c r="L480" s="23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</row>
    <row r="481">
      <c r="A481" s="17"/>
      <c r="B481" s="17"/>
      <c r="C481" s="17"/>
      <c r="D481" s="23"/>
      <c r="E481" s="38"/>
      <c r="F481" s="35"/>
      <c r="G481" s="22"/>
      <c r="H481" s="23"/>
      <c r="I481" s="17"/>
      <c r="J481" s="23"/>
      <c r="K481" s="23"/>
      <c r="L481" s="23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</row>
    <row r="482">
      <c r="A482" s="17"/>
      <c r="B482" s="17"/>
      <c r="C482" s="17"/>
      <c r="D482" s="23"/>
      <c r="E482" s="38"/>
      <c r="F482" s="35"/>
      <c r="G482" s="22"/>
      <c r="H482" s="23"/>
      <c r="I482" s="17"/>
      <c r="J482" s="23"/>
      <c r="K482" s="23"/>
      <c r="L482" s="23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</row>
    <row r="483">
      <c r="A483" s="17"/>
      <c r="B483" s="17"/>
      <c r="C483" s="17"/>
      <c r="D483" s="23"/>
      <c r="E483" s="38"/>
      <c r="F483" s="35"/>
      <c r="G483" s="22"/>
      <c r="H483" s="23"/>
      <c r="I483" s="17"/>
      <c r="J483" s="23"/>
      <c r="K483" s="23"/>
      <c r="L483" s="23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</row>
    <row r="484">
      <c r="A484" s="17"/>
      <c r="B484" s="17"/>
      <c r="C484" s="17"/>
      <c r="D484" s="23"/>
      <c r="E484" s="38"/>
      <c r="F484" s="35"/>
      <c r="G484" s="22"/>
      <c r="H484" s="23"/>
      <c r="I484" s="17"/>
      <c r="J484" s="23"/>
      <c r="K484" s="23"/>
      <c r="L484" s="23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>
      <c r="A485" s="17"/>
      <c r="B485" s="17"/>
      <c r="C485" s="17"/>
      <c r="D485" s="23"/>
      <c r="E485" s="38"/>
      <c r="F485" s="35"/>
      <c r="G485" s="22"/>
      <c r="H485" s="23"/>
      <c r="I485" s="17"/>
      <c r="J485" s="23"/>
      <c r="K485" s="23"/>
      <c r="L485" s="23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>
      <c r="A486" s="17"/>
      <c r="B486" s="17"/>
      <c r="C486" s="17"/>
      <c r="D486" s="23"/>
      <c r="E486" s="38"/>
      <c r="F486" s="35"/>
      <c r="G486" s="22"/>
      <c r="H486" s="23"/>
      <c r="I486" s="17"/>
      <c r="J486" s="23"/>
      <c r="K486" s="23"/>
      <c r="L486" s="23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</row>
    <row r="487">
      <c r="A487" s="17"/>
      <c r="B487" s="17"/>
      <c r="C487" s="17"/>
      <c r="D487" s="23"/>
      <c r="E487" s="38"/>
      <c r="F487" s="35"/>
      <c r="G487" s="22"/>
      <c r="H487" s="23"/>
      <c r="I487" s="17"/>
      <c r="J487" s="23"/>
      <c r="K487" s="23"/>
      <c r="L487" s="23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</row>
    <row r="488">
      <c r="A488" s="17"/>
      <c r="B488" s="17"/>
      <c r="C488" s="17"/>
      <c r="D488" s="23"/>
      <c r="E488" s="38"/>
      <c r="F488" s="35"/>
      <c r="G488" s="22"/>
      <c r="H488" s="23"/>
      <c r="I488" s="17"/>
      <c r="J488" s="23"/>
      <c r="K488" s="23"/>
      <c r="L488" s="23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</row>
    <row r="489">
      <c r="A489" s="17"/>
      <c r="B489" s="17"/>
      <c r="C489" s="17"/>
      <c r="D489" s="23"/>
      <c r="E489" s="38"/>
      <c r="F489" s="35"/>
      <c r="G489" s="22"/>
      <c r="H489" s="23"/>
      <c r="I489" s="17"/>
      <c r="J489" s="23"/>
      <c r="K489" s="23"/>
      <c r="L489" s="23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</row>
    <row r="490">
      <c r="A490" s="17"/>
      <c r="B490" s="17"/>
      <c r="C490" s="17"/>
      <c r="D490" s="23"/>
      <c r="E490" s="38"/>
      <c r="F490" s="35"/>
      <c r="G490" s="22"/>
      <c r="H490" s="23"/>
      <c r="I490" s="17"/>
      <c r="J490" s="23"/>
      <c r="K490" s="23"/>
      <c r="L490" s="23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</row>
    <row r="491">
      <c r="A491" s="17"/>
      <c r="B491" s="17"/>
      <c r="C491" s="17"/>
      <c r="D491" s="23"/>
      <c r="E491" s="38"/>
      <c r="F491" s="35"/>
      <c r="G491" s="22"/>
      <c r="H491" s="23"/>
      <c r="I491" s="17"/>
      <c r="J491" s="23"/>
      <c r="K491" s="23"/>
      <c r="L491" s="23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</row>
    <row r="492">
      <c r="A492" s="17"/>
      <c r="B492" s="17"/>
      <c r="C492" s="17"/>
      <c r="D492" s="23"/>
      <c r="E492" s="38"/>
      <c r="F492" s="35"/>
      <c r="G492" s="22"/>
      <c r="H492" s="23"/>
      <c r="I492" s="17"/>
      <c r="J492" s="23"/>
      <c r="K492" s="23"/>
      <c r="L492" s="23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</row>
    <row r="493">
      <c r="A493" s="17"/>
      <c r="B493" s="17"/>
      <c r="C493" s="17"/>
      <c r="D493" s="23"/>
      <c r="E493" s="38"/>
      <c r="F493" s="35"/>
      <c r="G493" s="22"/>
      <c r="H493" s="23"/>
      <c r="I493" s="17"/>
      <c r="J493" s="23"/>
      <c r="K493" s="23"/>
      <c r="L493" s="23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>
      <c r="A494" s="17"/>
      <c r="B494" s="17"/>
      <c r="C494" s="17"/>
      <c r="D494" s="23"/>
      <c r="E494" s="38"/>
      <c r="F494" s="35"/>
      <c r="G494" s="22"/>
      <c r="H494" s="23"/>
      <c r="I494" s="17"/>
      <c r="J494" s="23"/>
      <c r="K494" s="23"/>
      <c r="L494" s="23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</row>
    <row r="495">
      <c r="A495" s="17"/>
      <c r="B495" s="17"/>
      <c r="C495" s="17"/>
      <c r="D495" s="23"/>
      <c r="E495" s="38"/>
      <c r="F495" s="35"/>
      <c r="G495" s="22"/>
      <c r="H495" s="23"/>
      <c r="I495" s="17"/>
      <c r="J495" s="23"/>
      <c r="K495" s="23"/>
      <c r="L495" s="23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</row>
    <row r="496">
      <c r="A496" s="17"/>
      <c r="B496" s="17"/>
      <c r="C496" s="17"/>
      <c r="D496" s="23"/>
      <c r="E496" s="38"/>
      <c r="F496" s="35"/>
      <c r="G496" s="22"/>
      <c r="H496" s="23"/>
      <c r="I496" s="17"/>
      <c r="J496" s="23"/>
      <c r="K496" s="23"/>
      <c r="L496" s="23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>
      <c r="A497" s="17"/>
      <c r="B497" s="17"/>
      <c r="C497" s="17"/>
      <c r="D497" s="23"/>
      <c r="E497" s="38"/>
      <c r="F497" s="35"/>
      <c r="G497" s="22"/>
      <c r="H497" s="23"/>
      <c r="I497" s="17"/>
      <c r="J497" s="23"/>
      <c r="K497" s="23"/>
      <c r="L497" s="23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</row>
    <row r="498">
      <c r="A498" s="17"/>
      <c r="B498" s="17"/>
      <c r="C498" s="17"/>
      <c r="D498" s="23"/>
      <c r="E498" s="38"/>
      <c r="F498" s="35"/>
      <c r="G498" s="22"/>
      <c r="H498" s="23"/>
      <c r="I498" s="17"/>
      <c r="J498" s="23"/>
      <c r="K498" s="23"/>
      <c r="L498" s="23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</row>
    <row r="499">
      <c r="A499" s="17"/>
      <c r="B499" s="17"/>
      <c r="C499" s="17"/>
      <c r="D499" s="23"/>
      <c r="E499" s="38"/>
      <c r="F499" s="35"/>
      <c r="G499" s="22"/>
      <c r="H499" s="23"/>
      <c r="I499" s="17"/>
      <c r="J499" s="23"/>
      <c r="K499" s="23"/>
      <c r="L499" s="23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</row>
    <row r="500">
      <c r="A500" s="17"/>
      <c r="B500" s="17"/>
      <c r="C500" s="17"/>
      <c r="D500" s="23"/>
      <c r="E500" s="38"/>
      <c r="F500" s="35"/>
      <c r="G500" s="22"/>
      <c r="H500" s="23"/>
      <c r="I500" s="17"/>
      <c r="J500" s="23"/>
      <c r="K500" s="23"/>
      <c r="L500" s="23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>
      <c r="A501" s="17"/>
      <c r="B501" s="17"/>
      <c r="C501" s="17"/>
      <c r="D501" s="23"/>
      <c r="E501" s="38"/>
      <c r="F501" s="35"/>
      <c r="G501" s="22"/>
      <c r="H501" s="23"/>
      <c r="I501" s="17"/>
      <c r="J501" s="23"/>
      <c r="K501" s="23"/>
      <c r="L501" s="23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</row>
    <row r="502">
      <c r="A502" s="17"/>
      <c r="B502" s="17"/>
      <c r="C502" s="17"/>
      <c r="D502" s="23"/>
      <c r="E502" s="38"/>
      <c r="F502" s="35"/>
      <c r="G502" s="22"/>
      <c r="H502" s="23"/>
      <c r="I502" s="17"/>
      <c r="J502" s="23"/>
      <c r="K502" s="23"/>
      <c r="L502" s="23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</row>
    <row r="503">
      <c r="A503" s="17"/>
      <c r="B503" s="17"/>
      <c r="C503" s="17"/>
      <c r="D503" s="23"/>
      <c r="E503" s="38"/>
      <c r="F503" s="35"/>
      <c r="G503" s="22"/>
      <c r="H503" s="23"/>
      <c r="I503" s="17"/>
      <c r="J503" s="23"/>
      <c r="K503" s="23"/>
      <c r="L503" s="23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</row>
    <row r="504">
      <c r="A504" s="17"/>
      <c r="B504" s="17"/>
      <c r="C504" s="17"/>
      <c r="D504" s="23"/>
      <c r="E504" s="38"/>
      <c r="F504" s="35"/>
      <c r="G504" s="22"/>
      <c r="H504" s="23"/>
      <c r="I504" s="17"/>
      <c r="J504" s="23"/>
      <c r="K504" s="23"/>
      <c r="L504" s="23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</row>
    <row r="505">
      <c r="A505" s="17"/>
      <c r="B505" s="17"/>
      <c r="C505" s="17"/>
      <c r="D505" s="23"/>
      <c r="E505" s="38"/>
      <c r="F505" s="35"/>
      <c r="G505" s="22"/>
      <c r="H505" s="23"/>
      <c r="I505" s="17"/>
      <c r="J505" s="23"/>
      <c r="K505" s="23"/>
      <c r="L505" s="23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</row>
    <row r="506">
      <c r="A506" s="17"/>
      <c r="B506" s="17"/>
      <c r="C506" s="17"/>
      <c r="D506" s="23"/>
      <c r="E506" s="38"/>
      <c r="F506" s="35"/>
      <c r="G506" s="22"/>
      <c r="H506" s="23"/>
      <c r="I506" s="17"/>
      <c r="J506" s="23"/>
      <c r="K506" s="23"/>
      <c r="L506" s="23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</row>
    <row r="507">
      <c r="A507" s="17"/>
      <c r="B507" s="17"/>
      <c r="C507" s="17"/>
      <c r="D507" s="23"/>
      <c r="E507" s="38"/>
      <c r="F507" s="35"/>
      <c r="G507" s="22"/>
      <c r="H507" s="23"/>
      <c r="I507" s="17"/>
      <c r="J507" s="23"/>
      <c r="K507" s="23"/>
      <c r="L507" s="23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</row>
    <row r="508">
      <c r="A508" s="17"/>
      <c r="B508" s="17"/>
      <c r="C508" s="17"/>
      <c r="D508" s="23"/>
      <c r="E508" s="38"/>
      <c r="F508" s="35"/>
      <c r="G508" s="22"/>
      <c r="H508" s="23"/>
      <c r="I508" s="17"/>
      <c r="J508" s="23"/>
      <c r="K508" s="23"/>
      <c r="L508" s="23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</row>
    <row r="509">
      <c r="A509" s="17"/>
      <c r="B509" s="17"/>
      <c r="C509" s="17"/>
      <c r="D509" s="23"/>
      <c r="E509" s="38"/>
      <c r="F509" s="35"/>
      <c r="G509" s="22"/>
      <c r="H509" s="23"/>
      <c r="I509" s="17"/>
      <c r="J509" s="23"/>
      <c r="K509" s="23"/>
      <c r="L509" s="23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</row>
    <row r="510">
      <c r="A510" s="17"/>
      <c r="B510" s="17"/>
      <c r="C510" s="17"/>
      <c r="D510" s="23"/>
      <c r="E510" s="38"/>
      <c r="F510" s="35"/>
      <c r="G510" s="22"/>
      <c r="H510" s="23"/>
      <c r="I510" s="17"/>
      <c r="J510" s="23"/>
      <c r="K510" s="23"/>
      <c r="L510" s="23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>
      <c r="A511" s="17"/>
      <c r="B511" s="17"/>
      <c r="C511" s="17"/>
      <c r="D511" s="23"/>
      <c r="E511" s="38"/>
      <c r="F511" s="35"/>
      <c r="G511" s="22"/>
      <c r="H511" s="23"/>
      <c r="I511" s="17"/>
      <c r="J511" s="23"/>
      <c r="K511" s="23"/>
      <c r="L511" s="23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</row>
    <row r="512">
      <c r="A512" s="17"/>
      <c r="B512" s="17"/>
      <c r="C512" s="17"/>
      <c r="D512" s="23"/>
      <c r="E512" s="38"/>
      <c r="F512" s="35"/>
      <c r="G512" s="22"/>
      <c r="H512" s="23"/>
      <c r="I512" s="17"/>
      <c r="J512" s="23"/>
      <c r="K512" s="23"/>
      <c r="L512" s="23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</row>
    <row r="513">
      <c r="A513" s="17"/>
      <c r="B513" s="17"/>
      <c r="C513" s="17"/>
      <c r="D513" s="23"/>
      <c r="E513" s="38"/>
      <c r="F513" s="35"/>
      <c r="G513" s="22"/>
      <c r="H513" s="23"/>
      <c r="I513" s="17"/>
      <c r="J513" s="23"/>
      <c r="K513" s="23"/>
      <c r="L513" s="23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</row>
    <row r="514">
      <c r="A514" s="17"/>
      <c r="B514" s="17"/>
      <c r="C514" s="17"/>
      <c r="D514" s="23"/>
      <c r="E514" s="38"/>
      <c r="F514" s="35"/>
      <c r="G514" s="22"/>
      <c r="H514" s="23"/>
      <c r="I514" s="17"/>
      <c r="J514" s="23"/>
      <c r="K514" s="23"/>
      <c r="L514" s="23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</row>
    <row r="515">
      <c r="A515" s="17"/>
      <c r="B515" s="17"/>
      <c r="C515" s="17"/>
      <c r="D515" s="23"/>
      <c r="E515" s="38"/>
      <c r="F515" s="35"/>
      <c r="G515" s="22"/>
      <c r="H515" s="23"/>
      <c r="I515" s="17"/>
      <c r="J515" s="23"/>
      <c r="K515" s="23"/>
      <c r="L515" s="23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</row>
    <row r="516">
      <c r="A516" s="17"/>
      <c r="B516" s="17"/>
      <c r="C516" s="17"/>
      <c r="D516" s="23"/>
      <c r="E516" s="38"/>
      <c r="F516" s="35"/>
      <c r="G516" s="22"/>
      <c r="H516" s="23"/>
      <c r="I516" s="17"/>
      <c r="J516" s="23"/>
      <c r="K516" s="23"/>
      <c r="L516" s="23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</row>
    <row r="517">
      <c r="A517" s="17"/>
      <c r="B517" s="17"/>
      <c r="C517" s="17"/>
      <c r="D517" s="23"/>
      <c r="E517" s="38"/>
      <c r="F517" s="35"/>
      <c r="G517" s="22"/>
      <c r="H517" s="23"/>
      <c r="I517" s="17"/>
      <c r="J517" s="23"/>
      <c r="K517" s="23"/>
      <c r="L517" s="23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</row>
    <row r="518">
      <c r="A518" s="17"/>
      <c r="B518" s="17"/>
      <c r="C518" s="17"/>
      <c r="D518" s="23"/>
      <c r="E518" s="38"/>
      <c r="F518" s="35"/>
      <c r="G518" s="22"/>
      <c r="H518" s="23"/>
      <c r="I518" s="17"/>
      <c r="J518" s="23"/>
      <c r="K518" s="23"/>
      <c r="L518" s="23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</row>
    <row r="519">
      <c r="A519" s="17"/>
      <c r="B519" s="17"/>
      <c r="C519" s="17"/>
      <c r="D519" s="23"/>
      <c r="E519" s="38"/>
      <c r="F519" s="35"/>
      <c r="G519" s="22"/>
      <c r="H519" s="23"/>
      <c r="I519" s="17"/>
      <c r="J519" s="23"/>
      <c r="K519" s="23"/>
      <c r="L519" s="23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</row>
    <row r="520">
      <c r="A520" s="17"/>
      <c r="B520" s="17"/>
      <c r="C520" s="17"/>
      <c r="D520" s="23"/>
      <c r="E520" s="38"/>
      <c r="F520" s="35"/>
      <c r="G520" s="22"/>
      <c r="H520" s="23"/>
      <c r="I520" s="17"/>
      <c r="J520" s="23"/>
      <c r="K520" s="23"/>
      <c r="L520" s="23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</row>
    <row r="521">
      <c r="A521" s="17"/>
      <c r="B521" s="17"/>
      <c r="C521" s="17"/>
      <c r="D521" s="23"/>
      <c r="E521" s="38"/>
      <c r="F521" s="35"/>
      <c r="G521" s="22"/>
      <c r="H521" s="23"/>
      <c r="I521" s="17"/>
      <c r="J521" s="23"/>
      <c r="K521" s="23"/>
      <c r="L521" s="23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</row>
    <row r="522">
      <c r="A522" s="17"/>
      <c r="B522" s="17"/>
      <c r="C522" s="17"/>
      <c r="D522" s="23"/>
      <c r="E522" s="38"/>
      <c r="F522" s="35"/>
      <c r="G522" s="22"/>
      <c r="H522" s="23"/>
      <c r="I522" s="17"/>
      <c r="J522" s="23"/>
      <c r="K522" s="23"/>
      <c r="L522" s="23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</row>
    <row r="523">
      <c r="A523" s="17"/>
      <c r="B523" s="17"/>
      <c r="C523" s="17"/>
      <c r="D523" s="23"/>
      <c r="E523" s="38"/>
      <c r="F523" s="35"/>
      <c r="G523" s="22"/>
      <c r="H523" s="23"/>
      <c r="I523" s="17"/>
      <c r="J523" s="23"/>
      <c r="K523" s="23"/>
      <c r="L523" s="23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</row>
    <row r="524">
      <c r="A524" s="17"/>
      <c r="B524" s="17"/>
      <c r="C524" s="17"/>
      <c r="D524" s="23"/>
      <c r="E524" s="38"/>
      <c r="F524" s="35"/>
      <c r="G524" s="22"/>
      <c r="H524" s="23"/>
      <c r="I524" s="17"/>
      <c r="J524" s="23"/>
      <c r="K524" s="23"/>
      <c r="L524" s="23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</row>
    <row r="525">
      <c r="A525" s="17"/>
      <c r="B525" s="17"/>
      <c r="C525" s="17"/>
      <c r="D525" s="23"/>
      <c r="E525" s="38"/>
      <c r="F525" s="35"/>
      <c r="G525" s="22"/>
      <c r="H525" s="23"/>
      <c r="I525" s="17"/>
      <c r="J525" s="23"/>
      <c r="K525" s="23"/>
      <c r="L525" s="23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</row>
    <row r="526">
      <c r="A526" s="17"/>
      <c r="B526" s="17"/>
      <c r="C526" s="17"/>
      <c r="D526" s="23"/>
      <c r="E526" s="38"/>
      <c r="F526" s="35"/>
      <c r="G526" s="22"/>
      <c r="H526" s="23"/>
      <c r="I526" s="17"/>
      <c r="J526" s="23"/>
      <c r="K526" s="23"/>
      <c r="L526" s="23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</row>
    <row r="527">
      <c r="A527" s="17"/>
      <c r="B527" s="17"/>
      <c r="C527" s="17"/>
      <c r="D527" s="23"/>
      <c r="E527" s="38"/>
      <c r="F527" s="35"/>
      <c r="G527" s="22"/>
      <c r="H527" s="23"/>
      <c r="I527" s="17"/>
      <c r="J527" s="23"/>
      <c r="K527" s="23"/>
      <c r="L527" s="23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</row>
    <row r="528">
      <c r="A528" s="17"/>
      <c r="B528" s="17"/>
      <c r="C528" s="17"/>
      <c r="D528" s="23"/>
      <c r="E528" s="38"/>
      <c r="F528" s="35"/>
      <c r="G528" s="22"/>
      <c r="H528" s="23"/>
      <c r="I528" s="17"/>
      <c r="J528" s="23"/>
      <c r="K528" s="23"/>
      <c r="L528" s="23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</row>
    <row r="529">
      <c r="A529" s="17"/>
      <c r="B529" s="17"/>
      <c r="C529" s="17"/>
      <c r="D529" s="23"/>
      <c r="E529" s="38"/>
      <c r="F529" s="35"/>
      <c r="G529" s="22"/>
      <c r="H529" s="23"/>
      <c r="I529" s="17"/>
      <c r="J529" s="23"/>
      <c r="K529" s="23"/>
      <c r="L529" s="23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</row>
    <row r="530">
      <c r="A530" s="17"/>
      <c r="B530" s="17"/>
      <c r="C530" s="17"/>
      <c r="D530" s="23"/>
      <c r="E530" s="38"/>
      <c r="F530" s="35"/>
      <c r="G530" s="22"/>
      <c r="H530" s="23"/>
      <c r="I530" s="17"/>
      <c r="J530" s="23"/>
      <c r="K530" s="23"/>
      <c r="L530" s="23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</row>
    <row r="531">
      <c r="A531" s="17"/>
      <c r="B531" s="17"/>
      <c r="C531" s="17"/>
      <c r="D531" s="23"/>
      <c r="E531" s="38"/>
      <c r="F531" s="35"/>
      <c r="G531" s="22"/>
      <c r="H531" s="23"/>
      <c r="I531" s="17"/>
      <c r="J531" s="23"/>
      <c r="K531" s="23"/>
      <c r="L531" s="23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</row>
    <row r="532">
      <c r="A532" s="17"/>
      <c r="B532" s="17"/>
      <c r="C532" s="17"/>
      <c r="D532" s="23"/>
      <c r="E532" s="38"/>
      <c r="F532" s="35"/>
      <c r="G532" s="22"/>
      <c r="H532" s="23"/>
      <c r="I532" s="17"/>
      <c r="J532" s="23"/>
      <c r="K532" s="23"/>
      <c r="L532" s="23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</row>
    <row r="533">
      <c r="A533" s="17"/>
      <c r="B533" s="17"/>
      <c r="C533" s="17"/>
      <c r="D533" s="23"/>
      <c r="E533" s="38"/>
      <c r="F533" s="35"/>
      <c r="G533" s="22"/>
      <c r="H533" s="23"/>
      <c r="I533" s="17"/>
      <c r="J533" s="23"/>
      <c r="K533" s="23"/>
      <c r="L533" s="23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</row>
    <row r="534">
      <c r="A534" s="17"/>
      <c r="B534" s="17"/>
      <c r="C534" s="17"/>
      <c r="D534" s="23"/>
      <c r="E534" s="38"/>
      <c r="F534" s="35"/>
      <c r="G534" s="22"/>
      <c r="H534" s="23"/>
      <c r="I534" s="17"/>
      <c r="J534" s="23"/>
      <c r="K534" s="23"/>
      <c r="L534" s="23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</row>
    <row r="535">
      <c r="A535" s="17"/>
      <c r="B535" s="17"/>
      <c r="C535" s="17"/>
      <c r="D535" s="23"/>
      <c r="E535" s="38"/>
      <c r="F535" s="35"/>
      <c r="G535" s="22"/>
      <c r="H535" s="23"/>
      <c r="I535" s="17"/>
      <c r="J535" s="23"/>
      <c r="K535" s="23"/>
      <c r="L535" s="23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</row>
    <row r="536">
      <c r="A536" s="17"/>
      <c r="B536" s="17"/>
      <c r="C536" s="17"/>
      <c r="D536" s="23"/>
      <c r="E536" s="38"/>
      <c r="F536" s="35"/>
      <c r="G536" s="22"/>
      <c r="H536" s="23"/>
      <c r="I536" s="17"/>
      <c r="J536" s="23"/>
      <c r="K536" s="23"/>
      <c r="L536" s="23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</row>
    <row r="537">
      <c r="A537" s="17"/>
      <c r="B537" s="17"/>
      <c r="C537" s="17"/>
      <c r="D537" s="23"/>
      <c r="E537" s="38"/>
      <c r="F537" s="35"/>
      <c r="G537" s="22"/>
      <c r="H537" s="23"/>
      <c r="I537" s="17"/>
      <c r="J537" s="23"/>
      <c r="K537" s="23"/>
      <c r="L537" s="23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</row>
    <row r="538">
      <c r="A538" s="17"/>
      <c r="B538" s="17"/>
      <c r="C538" s="17"/>
      <c r="D538" s="23"/>
      <c r="E538" s="38"/>
      <c r="F538" s="35"/>
      <c r="G538" s="22"/>
      <c r="H538" s="23"/>
      <c r="I538" s="17"/>
      <c r="J538" s="23"/>
      <c r="K538" s="23"/>
      <c r="L538" s="23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</row>
    <row r="539">
      <c r="A539" s="17"/>
      <c r="B539" s="17"/>
      <c r="C539" s="17"/>
      <c r="D539" s="23"/>
      <c r="E539" s="38"/>
      <c r="F539" s="35"/>
      <c r="G539" s="22"/>
      <c r="H539" s="23"/>
      <c r="I539" s="17"/>
      <c r="J539" s="23"/>
      <c r="K539" s="23"/>
      <c r="L539" s="23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</row>
    <row r="540">
      <c r="A540" s="17"/>
      <c r="B540" s="17"/>
      <c r="C540" s="17"/>
      <c r="D540" s="23"/>
      <c r="E540" s="38"/>
      <c r="F540" s="35"/>
      <c r="G540" s="22"/>
      <c r="H540" s="23"/>
      <c r="I540" s="17"/>
      <c r="J540" s="23"/>
      <c r="K540" s="23"/>
      <c r="L540" s="23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</row>
    <row r="541">
      <c r="A541" s="17"/>
      <c r="B541" s="17"/>
      <c r="C541" s="17"/>
      <c r="D541" s="23"/>
      <c r="E541" s="38"/>
      <c r="F541" s="35"/>
      <c r="G541" s="22"/>
      <c r="H541" s="23"/>
      <c r="I541" s="17"/>
      <c r="J541" s="23"/>
      <c r="K541" s="23"/>
      <c r="L541" s="23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</row>
    <row r="542">
      <c r="A542" s="17"/>
      <c r="B542" s="17"/>
      <c r="C542" s="17"/>
      <c r="D542" s="23"/>
      <c r="E542" s="38"/>
      <c r="F542" s="35"/>
      <c r="G542" s="22"/>
      <c r="H542" s="23"/>
      <c r="I542" s="17"/>
      <c r="J542" s="23"/>
      <c r="K542" s="23"/>
      <c r="L542" s="23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</row>
    <row r="543">
      <c r="A543" s="17"/>
      <c r="B543" s="17"/>
      <c r="C543" s="17"/>
      <c r="D543" s="23"/>
      <c r="E543" s="38"/>
      <c r="F543" s="35"/>
      <c r="G543" s="22"/>
      <c r="H543" s="23"/>
      <c r="I543" s="17"/>
      <c r="J543" s="23"/>
      <c r="K543" s="23"/>
      <c r="L543" s="23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</row>
    <row r="544">
      <c r="A544" s="17"/>
      <c r="B544" s="17"/>
      <c r="C544" s="17"/>
      <c r="D544" s="23"/>
      <c r="E544" s="38"/>
      <c r="F544" s="35"/>
      <c r="G544" s="22"/>
      <c r="H544" s="23"/>
      <c r="I544" s="17"/>
      <c r="J544" s="23"/>
      <c r="K544" s="23"/>
      <c r="L544" s="23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</row>
    <row r="545">
      <c r="A545" s="17"/>
      <c r="B545" s="17"/>
      <c r="C545" s="17"/>
      <c r="D545" s="23"/>
      <c r="E545" s="38"/>
      <c r="F545" s="35"/>
      <c r="G545" s="22"/>
      <c r="H545" s="23"/>
      <c r="I545" s="17"/>
      <c r="J545" s="23"/>
      <c r="K545" s="23"/>
      <c r="L545" s="23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</row>
    <row r="546">
      <c r="A546" s="17"/>
      <c r="B546" s="17"/>
      <c r="C546" s="17"/>
      <c r="D546" s="23"/>
      <c r="E546" s="38"/>
      <c r="F546" s="35"/>
      <c r="G546" s="22"/>
      <c r="H546" s="23"/>
      <c r="I546" s="17"/>
      <c r="J546" s="23"/>
      <c r="K546" s="23"/>
      <c r="L546" s="23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</row>
    <row r="547">
      <c r="A547" s="17"/>
      <c r="B547" s="17"/>
      <c r="C547" s="17"/>
      <c r="D547" s="23"/>
      <c r="E547" s="38"/>
      <c r="F547" s="35"/>
      <c r="G547" s="22"/>
      <c r="H547" s="23"/>
      <c r="I547" s="17"/>
      <c r="J547" s="23"/>
      <c r="K547" s="23"/>
      <c r="L547" s="23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</row>
    <row r="548">
      <c r="A548" s="17"/>
      <c r="B548" s="17"/>
      <c r="C548" s="17"/>
      <c r="D548" s="23"/>
      <c r="E548" s="38"/>
      <c r="F548" s="35"/>
      <c r="G548" s="22"/>
      <c r="H548" s="23"/>
      <c r="I548" s="17"/>
      <c r="J548" s="23"/>
      <c r="K548" s="23"/>
      <c r="L548" s="23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</row>
    <row r="549">
      <c r="A549" s="17"/>
      <c r="B549" s="17"/>
      <c r="C549" s="17"/>
      <c r="D549" s="23"/>
      <c r="E549" s="38"/>
      <c r="F549" s="35"/>
      <c r="G549" s="22"/>
      <c r="H549" s="23"/>
      <c r="I549" s="17"/>
      <c r="J549" s="23"/>
      <c r="K549" s="23"/>
      <c r="L549" s="23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</row>
    <row r="550">
      <c r="A550" s="17"/>
      <c r="B550" s="17"/>
      <c r="C550" s="17"/>
      <c r="D550" s="23"/>
      <c r="E550" s="38"/>
      <c r="F550" s="35"/>
      <c r="G550" s="22"/>
      <c r="H550" s="23"/>
      <c r="I550" s="17"/>
      <c r="J550" s="23"/>
      <c r="K550" s="23"/>
      <c r="L550" s="23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</row>
    <row r="551">
      <c r="A551" s="17"/>
      <c r="B551" s="17"/>
      <c r="C551" s="17"/>
      <c r="D551" s="23"/>
      <c r="E551" s="38"/>
      <c r="F551" s="35"/>
      <c r="G551" s="22"/>
      <c r="H551" s="23"/>
      <c r="I551" s="17"/>
      <c r="J551" s="23"/>
      <c r="K551" s="23"/>
      <c r="L551" s="23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</row>
    <row r="552">
      <c r="A552" s="17"/>
      <c r="B552" s="17"/>
      <c r="C552" s="17"/>
      <c r="D552" s="23"/>
      <c r="E552" s="38"/>
      <c r="F552" s="35"/>
      <c r="G552" s="22"/>
      <c r="H552" s="23"/>
      <c r="I552" s="17"/>
      <c r="J552" s="23"/>
      <c r="K552" s="23"/>
      <c r="L552" s="23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</row>
    <row r="553">
      <c r="A553" s="17"/>
      <c r="B553" s="17"/>
      <c r="C553" s="17"/>
      <c r="D553" s="23"/>
      <c r="E553" s="38"/>
      <c r="F553" s="35"/>
      <c r="G553" s="22"/>
      <c r="H553" s="23"/>
      <c r="I553" s="17"/>
      <c r="J553" s="23"/>
      <c r="K553" s="23"/>
      <c r="L553" s="23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</row>
    <row r="554">
      <c r="A554" s="17"/>
      <c r="B554" s="17"/>
      <c r="C554" s="17"/>
      <c r="D554" s="23"/>
      <c r="E554" s="38"/>
      <c r="F554" s="35"/>
      <c r="G554" s="22"/>
      <c r="H554" s="23"/>
      <c r="I554" s="17"/>
      <c r="J554" s="23"/>
      <c r="K554" s="23"/>
      <c r="L554" s="23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</row>
    <row r="555">
      <c r="A555" s="17"/>
      <c r="B555" s="17"/>
      <c r="C555" s="17"/>
      <c r="D555" s="23"/>
      <c r="E555" s="38"/>
      <c r="F555" s="35"/>
      <c r="G555" s="22"/>
      <c r="H555" s="23"/>
      <c r="I555" s="17"/>
      <c r="J555" s="23"/>
      <c r="K555" s="23"/>
      <c r="L555" s="23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</row>
    <row r="556">
      <c r="A556" s="17"/>
      <c r="B556" s="17"/>
      <c r="C556" s="17"/>
      <c r="D556" s="23"/>
      <c r="E556" s="38"/>
      <c r="F556" s="35"/>
      <c r="G556" s="22"/>
      <c r="H556" s="23"/>
      <c r="I556" s="17"/>
      <c r="J556" s="23"/>
      <c r="K556" s="23"/>
      <c r="L556" s="23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</row>
    <row r="557">
      <c r="A557" s="17"/>
      <c r="B557" s="17"/>
      <c r="C557" s="17"/>
      <c r="D557" s="23"/>
      <c r="E557" s="38"/>
      <c r="F557" s="35"/>
      <c r="G557" s="22"/>
      <c r="H557" s="23"/>
      <c r="I557" s="17"/>
      <c r="J557" s="23"/>
      <c r="K557" s="23"/>
      <c r="L557" s="23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</row>
    <row r="558">
      <c r="A558" s="17"/>
      <c r="B558" s="17"/>
      <c r="C558" s="17"/>
      <c r="D558" s="23"/>
      <c r="E558" s="38"/>
      <c r="F558" s="35"/>
      <c r="G558" s="22"/>
      <c r="H558" s="23"/>
      <c r="I558" s="17"/>
      <c r="J558" s="23"/>
      <c r="K558" s="23"/>
      <c r="L558" s="23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</row>
    <row r="559">
      <c r="A559" s="17"/>
      <c r="B559" s="17"/>
      <c r="C559" s="17"/>
      <c r="D559" s="23"/>
      <c r="E559" s="38"/>
      <c r="F559" s="35"/>
      <c r="G559" s="22"/>
      <c r="H559" s="23"/>
      <c r="I559" s="17"/>
      <c r="J559" s="23"/>
      <c r="K559" s="23"/>
      <c r="L559" s="23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</row>
    <row r="560">
      <c r="A560" s="17"/>
      <c r="B560" s="17"/>
      <c r="C560" s="17"/>
      <c r="D560" s="23"/>
      <c r="E560" s="38"/>
      <c r="F560" s="35"/>
      <c r="G560" s="22"/>
      <c r="H560" s="23"/>
      <c r="I560" s="17"/>
      <c r="J560" s="23"/>
      <c r="K560" s="23"/>
      <c r="L560" s="23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</row>
    <row r="561">
      <c r="A561" s="17"/>
      <c r="B561" s="17"/>
      <c r="C561" s="17"/>
      <c r="D561" s="23"/>
      <c r="E561" s="38"/>
      <c r="F561" s="35"/>
      <c r="G561" s="22"/>
      <c r="H561" s="23"/>
      <c r="I561" s="17"/>
      <c r="J561" s="23"/>
      <c r="K561" s="23"/>
      <c r="L561" s="23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</row>
    <row r="562">
      <c r="A562" s="17"/>
      <c r="B562" s="17"/>
      <c r="C562" s="17"/>
      <c r="D562" s="23"/>
      <c r="E562" s="38"/>
      <c r="F562" s="35"/>
      <c r="G562" s="22"/>
      <c r="H562" s="23"/>
      <c r="I562" s="17"/>
      <c r="J562" s="23"/>
      <c r="K562" s="23"/>
      <c r="L562" s="23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</row>
    <row r="563">
      <c r="A563" s="17"/>
      <c r="B563" s="17"/>
      <c r="C563" s="17"/>
      <c r="D563" s="23"/>
      <c r="E563" s="38"/>
      <c r="F563" s="35"/>
      <c r="G563" s="22"/>
      <c r="H563" s="23"/>
      <c r="I563" s="17"/>
      <c r="J563" s="23"/>
      <c r="K563" s="23"/>
      <c r="L563" s="23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</row>
    <row r="564">
      <c r="A564" s="17"/>
      <c r="B564" s="17"/>
      <c r="C564" s="17"/>
      <c r="D564" s="23"/>
      <c r="E564" s="38"/>
      <c r="F564" s="35"/>
      <c r="G564" s="22"/>
      <c r="H564" s="23"/>
      <c r="I564" s="17"/>
      <c r="J564" s="23"/>
      <c r="K564" s="23"/>
      <c r="L564" s="23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</row>
    <row r="565">
      <c r="A565" s="17"/>
      <c r="B565" s="17"/>
      <c r="C565" s="17"/>
      <c r="D565" s="23"/>
      <c r="E565" s="38"/>
      <c r="F565" s="35"/>
      <c r="G565" s="22"/>
      <c r="H565" s="23"/>
      <c r="I565" s="17"/>
      <c r="J565" s="23"/>
      <c r="K565" s="23"/>
      <c r="L565" s="23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</row>
    <row r="566">
      <c r="A566" s="17"/>
      <c r="B566" s="17"/>
      <c r="C566" s="17"/>
      <c r="D566" s="23"/>
      <c r="E566" s="38"/>
      <c r="F566" s="35"/>
      <c r="G566" s="22"/>
      <c r="H566" s="23"/>
      <c r="I566" s="17"/>
      <c r="J566" s="23"/>
      <c r="K566" s="23"/>
      <c r="L566" s="23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</row>
    <row r="567">
      <c r="A567" s="17"/>
      <c r="B567" s="17"/>
      <c r="C567" s="17"/>
      <c r="D567" s="23"/>
      <c r="E567" s="38"/>
      <c r="F567" s="35"/>
      <c r="G567" s="22"/>
      <c r="H567" s="23"/>
      <c r="I567" s="17"/>
      <c r="J567" s="23"/>
      <c r="K567" s="23"/>
      <c r="L567" s="23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</row>
    <row r="568">
      <c r="A568" s="17"/>
      <c r="B568" s="17"/>
      <c r="C568" s="17"/>
      <c r="D568" s="23"/>
      <c r="E568" s="38"/>
      <c r="F568" s="35"/>
      <c r="G568" s="22"/>
      <c r="H568" s="23"/>
      <c r="I568" s="17"/>
      <c r="J568" s="23"/>
      <c r="K568" s="23"/>
      <c r="L568" s="23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</row>
    <row r="569">
      <c r="A569" s="17"/>
      <c r="B569" s="17"/>
      <c r="C569" s="17"/>
      <c r="D569" s="23"/>
      <c r="E569" s="38"/>
      <c r="F569" s="35"/>
      <c r="G569" s="22"/>
      <c r="H569" s="23"/>
      <c r="I569" s="17"/>
      <c r="J569" s="23"/>
      <c r="K569" s="23"/>
      <c r="L569" s="23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</row>
    <row r="570">
      <c r="A570" s="17"/>
      <c r="B570" s="17"/>
      <c r="C570" s="17"/>
      <c r="D570" s="23"/>
      <c r="E570" s="38"/>
      <c r="F570" s="35"/>
      <c r="G570" s="22"/>
      <c r="H570" s="23"/>
      <c r="I570" s="17"/>
      <c r="J570" s="23"/>
      <c r="K570" s="23"/>
      <c r="L570" s="23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</row>
    <row r="571">
      <c r="A571" s="17"/>
      <c r="B571" s="17"/>
      <c r="C571" s="17"/>
      <c r="D571" s="23"/>
      <c r="E571" s="38"/>
      <c r="F571" s="35"/>
      <c r="G571" s="22"/>
      <c r="H571" s="23"/>
      <c r="I571" s="17"/>
      <c r="J571" s="23"/>
      <c r="K571" s="23"/>
      <c r="L571" s="23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</row>
    <row r="572">
      <c r="A572" s="17"/>
      <c r="B572" s="17"/>
      <c r="C572" s="17"/>
      <c r="D572" s="23"/>
      <c r="E572" s="38"/>
      <c r="F572" s="35"/>
      <c r="G572" s="22"/>
      <c r="H572" s="23"/>
      <c r="I572" s="17"/>
      <c r="J572" s="23"/>
      <c r="K572" s="23"/>
      <c r="L572" s="23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</row>
    <row r="573">
      <c r="A573" s="17"/>
      <c r="B573" s="17"/>
      <c r="C573" s="17"/>
      <c r="D573" s="23"/>
      <c r="E573" s="38"/>
      <c r="F573" s="35"/>
      <c r="G573" s="22"/>
      <c r="H573" s="23"/>
      <c r="I573" s="17"/>
      <c r="J573" s="23"/>
      <c r="K573" s="23"/>
      <c r="L573" s="23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</row>
    <row r="574">
      <c r="A574" s="17"/>
      <c r="B574" s="17"/>
      <c r="C574" s="17"/>
      <c r="D574" s="23"/>
      <c r="E574" s="38"/>
      <c r="F574" s="35"/>
      <c r="G574" s="22"/>
      <c r="H574" s="23"/>
      <c r="I574" s="17"/>
      <c r="J574" s="23"/>
      <c r="K574" s="23"/>
      <c r="L574" s="23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</row>
    <row r="575">
      <c r="A575" s="17"/>
      <c r="B575" s="17"/>
      <c r="C575" s="17"/>
      <c r="D575" s="23"/>
      <c r="E575" s="38"/>
      <c r="F575" s="35"/>
      <c r="G575" s="22"/>
      <c r="H575" s="23"/>
      <c r="I575" s="17"/>
      <c r="J575" s="23"/>
      <c r="K575" s="23"/>
      <c r="L575" s="23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</row>
    <row r="576">
      <c r="A576" s="17"/>
      <c r="B576" s="17"/>
      <c r="C576" s="17"/>
      <c r="D576" s="23"/>
      <c r="E576" s="38"/>
      <c r="F576" s="35"/>
      <c r="G576" s="22"/>
      <c r="H576" s="23"/>
      <c r="I576" s="17"/>
      <c r="J576" s="23"/>
      <c r="K576" s="23"/>
      <c r="L576" s="23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</row>
    <row r="577">
      <c r="A577" s="17"/>
      <c r="B577" s="17"/>
      <c r="C577" s="17"/>
      <c r="D577" s="23"/>
      <c r="E577" s="38"/>
      <c r="F577" s="35"/>
      <c r="G577" s="22"/>
      <c r="H577" s="23"/>
      <c r="I577" s="17"/>
      <c r="J577" s="23"/>
      <c r="K577" s="23"/>
      <c r="L577" s="23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</row>
    <row r="578">
      <c r="A578" s="17"/>
      <c r="B578" s="17"/>
      <c r="C578" s="17"/>
      <c r="D578" s="23"/>
      <c r="E578" s="38"/>
      <c r="F578" s="35"/>
      <c r="G578" s="22"/>
      <c r="H578" s="23"/>
      <c r="I578" s="17"/>
      <c r="J578" s="23"/>
      <c r="K578" s="23"/>
      <c r="L578" s="23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</row>
    <row r="579">
      <c r="A579" s="17"/>
      <c r="B579" s="17"/>
      <c r="C579" s="17"/>
      <c r="D579" s="23"/>
      <c r="E579" s="38"/>
      <c r="F579" s="35"/>
      <c r="G579" s="22"/>
      <c r="H579" s="23"/>
      <c r="I579" s="17"/>
      <c r="J579" s="23"/>
      <c r="K579" s="23"/>
      <c r="L579" s="23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</row>
    <row r="580">
      <c r="A580" s="17"/>
      <c r="B580" s="17"/>
      <c r="C580" s="17"/>
      <c r="D580" s="23"/>
      <c r="E580" s="38"/>
      <c r="F580" s="35"/>
      <c r="G580" s="22"/>
      <c r="H580" s="23"/>
      <c r="I580" s="17"/>
      <c r="J580" s="23"/>
      <c r="K580" s="23"/>
      <c r="L580" s="23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</row>
    <row r="581">
      <c r="A581" s="17"/>
      <c r="B581" s="17"/>
      <c r="C581" s="17"/>
      <c r="D581" s="23"/>
      <c r="E581" s="38"/>
      <c r="F581" s="35"/>
      <c r="G581" s="22"/>
      <c r="H581" s="23"/>
      <c r="I581" s="17"/>
      <c r="J581" s="23"/>
      <c r="K581" s="23"/>
      <c r="L581" s="23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</row>
    <row r="582">
      <c r="A582" s="17"/>
      <c r="B582" s="17"/>
      <c r="C582" s="17"/>
      <c r="D582" s="23"/>
      <c r="E582" s="38"/>
      <c r="F582" s="35"/>
      <c r="G582" s="22"/>
      <c r="H582" s="23"/>
      <c r="I582" s="17"/>
      <c r="J582" s="23"/>
      <c r="K582" s="23"/>
      <c r="L582" s="23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</row>
    <row r="583">
      <c r="A583" s="17"/>
      <c r="B583" s="17"/>
      <c r="C583" s="17"/>
      <c r="D583" s="23"/>
      <c r="E583" s="38"/>
      <c r="F583" s="35"/>
      <c r="G583" s="22"/>
      <c r="H583" s="23"/>
      <c r="I583" s="17"/>
      <c r="J583" s="23"/>
      <c r="K583" s="23"/>
      <c r="L583" s="23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</row>
    <row r="584">
      <c r="A584" s="17"/>
      <c r="B584" s="17"/>
      <c r="C584" s="17"/>
      <c r="D584" s="23"/>
      <c r="E584" s="38"/>
      <c r="F584" s="35"/>
      <c r="G584" s="22"/>
      <c r="H584" s="23"/>
      <c r="I584" s="17"/>
      <c r="J584" s="23"/>
      <c r="K584" s="23"/>
      <c r="L584" s="23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</row>
    <row r="585">
      <c r="A585" s="17"/>
      <c r="B585" s="17"/>
      <c r="C585" s="17"/>
      <c r="D585" s="23"/>
      <c r="E585" s="38"/>
      <c r="F585" s="35"/>
      <c r="G585" s="22"/>
      <c r="H585" s="23"/>
      <c r="I585" s="17"/>
      <c r="J585" s="23"/>
      <c r="K585" s="23"/>
      <c r="L585" s="23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</row>
    <row r="586">
      <c r="A586" s="17"/>
      <c r="B586" s="17"/>
      <c r="C586" s="17"/>
      <c r="D586" s="23"/>
      <c r="E586" s="38"/>
      <c r="F586" s="35"/>
      <c r="G586" s="22"/>
      <c r="H586" s="23"/>
      <c r="I586" s="17"/>
      <c r="J586" s="23"/>
      <c r="K586" s="23"/>
      <c r="L586" s="23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</row>
    <row r="587">
      <c r="A587" s="17"/>
      <c r="B587" s="17"/>
      <c r="C587" s="17"/>
      <c r="D587" s="23"/>
      <c r="E587" s="38"/>
      <c r="F587" s="35"/>
      <c r="G587" s="22"/>
      <c r="H587" s="23"/>
      <c r="I587" s="17"/>
      <c r="J587" s="23"/>
      <c r="K587" s="23"/>
      <c r="L587" s="23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</row>
    <row r="588">
      <c r="A588" s="17"/>
      <c r="B588" s="17"/>
      <c r="C588" s="17"/>
      <c r="D588" s="23"/>
      <c r="E588" s="38"/>
      <c r="F588" s="35"/>
      <c r="G588" s="22"/>
      <c r="H588" s="23"/>
      <c r="I588" s="17"/>
      <c r="J588" s="23"/>
      <c r="K588" s="23"/>
      <c r="L588" s="23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</row>
    <row r="589">
      <c r="A589" s="17"/>
      <c r="B589" s="17"/>
      <c r="C589" s="17"/>
      <c r="D589" s="23"/>
      <c r="E589" s="38"/>
      <c r="F589" s="35"/>
      <c r="G589" s="22"/>
      <c r="H589" s="23"/>
      <c r="I589" s="17"/>
      <c r="J589" s="23"/>
      <c r="K589" s="23"/>
      <c r="L589" s="23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</row>
    <row r="590">
      <c r="A590" s="17"/>
      <c r="B590" s="17"/>
      <c r="C590" s="17"/>
      <c r="D590" s="23"/>
      <c r="E590" s="38"/>
      <c r="F590" s="35"/>
      <c r="G590" s="22"/>
      <c r="H590" s="23"/>
      <c r="I590" s="17"/>
      <c r="J590" s="23"/>
      <c r="K590" s="23"/>
      <c r="L590" s="23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</row>
    <row r="591">
      <c r="A591" s="17"/>
      <c r="B591" s="17"/>
      <c r="C591" s="17"/>
      <c r="D591" s="23"/>
      <c r="E591" s="38"/>
      <c r="F591" s="35"/>
      <c r="G591" s="22"/>
      <c r="H591" s="23"/>
      <c r="I591" s="17"/>
      <c r="J591" s="23"/>
      <c r="K591" s="23"/>
      <c r="L591" s="23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</row>
    <row r="592">
      <c r="A592" s="17"/>
      <c r="B592" s="17"/>
      <c r="C592" s="17"/>
      <c r="D592" s="23"/>
      <c r="E592" s="38"/>
      <c r="F592" s="35"/>
      <c r="G592" s="22"/>
      <c r="H592" s="23"/>
      <c r="I592" s="17"/>
      <c r="J592" s="23"/>
      <c r="K592" s="23"/>
      <c r="L592" s="23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</row>
    <row r="593">
      <c r="A593" s="17"/>
      <c r="B593" s="17"/>
      <c r="C593" s="17"/>
      <c r="D593" s="23"/>
      <c r="E593" s="38"/>
      <c r="F593" s="35"/>
      <c r="G593" s="22"/>
      <c r="H593" s="23"/>
      <c r="I593" s="17"/>
      <c r="J593" s="23"/>
      <c r="K593" s="23"/>
      <c r="L593" s="23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</row>
    <row r="594">
      <c r="A594" s="17"/>
      <c r="B594" s="17"/>
      <c r="C594" s="17"/>
      <c r="D594" s="23"/>
      <c r="E594" s="38"/>
      <c r="F594" s="35"/>
      <c r="G594" s="22"/>
      <c r="H594" s="23"/>
      <c r="I594" s="17"/>
      <c r="J594" s="23"/>
      <c r="K594" s="23"/>
      <c r="L594" s="23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</row>
    <row r="595">
      <c r="A595" s="17"/>
      <c r="B595" s="17"/>
      <c r="C595" s="17"/>
      <c r="D595" s="23"/>
      <c r="E595" s="38"/>
      <c r="F595" s="35"/>
      <c r="G595" s="22"/>
      <c r="H595" s="23"/>
      <c r="I595" s="17"/>
      <c r="J595" s="23"/>
      <c r="K595" s="23"/>
      <c r="L595" s="23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</row>
    <row r="596">
      <c r="A596" s="17"/>
      <c r="B596" s="17"/>
      <c r="C596" s="17"/>
      <c r="D596" s="23"/>
      <c r="E596" s="38"/>
      <c r="F596" s="35"/>
      <c r="G596" s="22"/>
      <c r="H596" s="23"/>
      <c r="I596" s="17"/>
      <c r="J596" s="23"/>
      <c r="K596" s="23"/>
      <c r="L596" s="23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</row>
    <row r="597">
      <c r="A597" s="17"/>
      <c r="B597" s="17"/>
      <c r="C597" s="17"/>
      <c r="D597" s="23"/>
      <c r="E597" s="38"/>
      <c r="F597" s="35"/>
      <c r="G597" s="22"/>
      <c r="H597" s="23"/>
      <c r="I597" s="17"/>
      <c r="J597" s="23"/>
      <c r="K597" s="23"/>
      <c r="L597" s="23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</row>
    <row r="598">
      <c r="A598" s="17"/>
      <c r="B598" s="17"/>
      <c r="C598" s="17"/>
      <c r="D598" s="23"/>
      <c r="E598" s="38"/>
      <c r="F598" s="35"/>
      <c r="G598" s="22"/>
      <c r="H598" s="23"/>
      <c r="I598" s="17"/>
      <c r="J598" s="23"/>
      <c r="K598" s="23"/>
      <c r="L598" s="23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</row>
    <row r="599">
      <c r="A599" s="17"/>
      <c r="B599" s="17"/>
      <c r="C599" s="17"/>
      <c r="D599" s="23"/>
      <c r="E599" s="38"/>
      <c r="F599" s="35"/>
      <c r="G599" s="22"/>
      <c r="H599" s="23"/>
      <c r="I599" s="17"/>
      <c r="J599" s="23"/>
      <c r="K599" s="23"/>
      <c r="L599" s="23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</row>
    <row r="600">
      <c r="A600" s="17"/>
      <c r="B600" s="17"/>
      <c r="C600" s="17"/>
      <c r="D600" s="23"/>
      <c r="E600" s="38"/>
      <c r="F600" s="35"/>
      <c r="G600" s="22"/>
      <c r="H600" s="23"/>
      <c r="I600" s="17"/>
      <c r="J600" s="23"/>
      <c r="K600" s="23"/>
      <c r="L600" s="23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</row>
    <row r="601">
      <c r="A601" s="17"/>
      <c r="B601" s="17"/>
      <c r="C601" s="17"/>
      <c r="D601" s="23"/>
      <c r="E601" s="38"/>
      <c r="F601" s="35"/>
      <c r="G601" s="22"/>
      <c r="H601" s="23"/>
      <c r="I601" s="17"/>
      <c r="J601" s="23"/>
      <c r="K601" s="23"/>
      <c r="L601" s="23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</row>
    <row r="602">
      <c r="A602" s="17"/>
      <c r="B602" s="17"/>
      <c r="C602" s="17"/>
      <c r="D602" s="23"/>
      <c r="E602" s="38"/>
      <c r="F602" s="35"/>
      <c r="G602" s="22"/>
      <c r="H602" s="23"/>
      <c r="I602" s="17"/>
      <c r="J602" s="23"/>
      <c r="K602" s="23"/>
      <c r="L602" s="23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</row>
    <row r="603">
      <c r="A603" s="17"/>
      <c r="B603" s="17"/>
      <c r="C603" s="17"/>
      <c r="D603" s="23"/>
      <c r="E603" s="38"/>
      <c r="F603" s="35"/>
      <c r="G603" s="22"/>
      <c r="H603" s="23"/>
      <c r="I603" s="17"/>
      <c r="J603" s="23"/>
      <c r="K603" s="23"/>
      <c r="L603" s="23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</row>
    <row r="604">
      <c r="A604" s="17"/>
      <c r="B604" s="17"/>
      <c r="C604" s="17"/>
      <c r="D604" s="23"/>
      <c r="E604" s="38"/>
      <c r="F604" s="35"/>
      <c r="G604" s="22"/>
      <c r="H604" s="23"/>
      <c r="I604" s="17"/>
      <c r="J604" s="23"/>
      <c r="K604" s="23"/>
      <c r="L604" s="23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</row>
    <row r="605">
      <c r="A605" s="17"/>
      <c r="B605" s="17"/>
      <c r="C605" s="17"/>
      <c r="D605" s="23"/>
      <c r="E605" s="38"/>
      <c r="F605" s="35"/>
      <c r="G605" s="22"/>
      <c r="H605" s="23"/>
      <c r="I605" s="17"/>
      <c r="J605" s="23"/>
      <c r="K605" s="23"/>
      <c r="L605" s="23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</row>
    <row r="606">
      <c r="A606" s="17"/>
      <c r="B606" s="17"/>
      <c r="C606" s="17"/>
      <c r="D606" s="23"/>
      <c r="E606" s="38"/>
      <c r="F606" s="35"/>
      <c r="G606" s="22"/>
      <c r="H606" s="23"/>
      <c r="I606" s="17"/>
      <c r="J606" s="23"/>
      <c r="K606" s="23"/>
      <c r="L606" s="23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</row>
    <row r="607">
      <c r="A607" s="17"/>
      <c r="B607" s="17"/>
      <c r="C607" s="17"/>
      <c r="D607" s="23"/>
      <c r="E607" s="38"/>
      <c r="F607" s="35"/>
      <c r="G607" s="22"/>
      <c r="H607" s="23"/>
      <c r="I607" s="17"/>
      <c r="J607" s="23"/>
      <c r="K607" s="23"/>
      <c r="L607" s="23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</row>
    <row r="608">
      <c r="A608" s="17"/>
      <c r="B608" s="17"/>
      <c r="C608" s="17"/>
      <c r="D608" s="23"/>
      <c r="E608" s="38"/>
      <c r="F608" s="35"/>
      <c r="G608" s="22"/>
      <c r="H608" s="23"/>
      <c r="I608" s="17"/>
      <c r="J608" s="23"/>
      <c r="K608" s="23"/>
      <c r="L608" s="23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</row>
    <row r="609">
      <c r="A609" s="17"/>
      <c r="B609" s="17"/>
      <c r="C609" s="17"/>
      <c r="D609" s="23"/>
      <c r="E609" s="38"/>
      <c r="F609" s="35"/>
      <c r="G609" s="22"/>
      <c r="H609" s="23"/>
      <c r="I609" s="17"/>
      <c r="J609" s="23"/>
      <c r="K609" s="23"/>
      <c r="L609" s="23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</row>
    <row r="610">
      <c r="A610" s="17"/>
      <c r="B610" s="17"/>
      <c r="C610" s="17"/>
      <c r="D610" s="23"/>
      <c r="E610" s="38"/>
      <c r="F610" s="35"/>
      <c r="G610" s="22"/>
      <c r="H610" s="23"/>
      <c r="I610" s="17"/>
      <c r="J610" s="23"/>
      <c r="K610" s="23"/>
      <c r="L610" s="23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</row>
    <row r="611">
      <c r="A611" s="17"/>
      <c r="B611" s="17"/>
      <c r="C611" s="17"/>
      <c r="D611" s="23"/>
      <c r="E611" s="38"/>
      <c r="F611" s="35"/>
      <c r="G611" s="22"/>
      <c r="H611" s="23"/>
      <c r="I611" s="17"/>
      <c r="J611" s="23"/>
      <c r="K611" s="23"/>
      <c r="L611" s="23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</row>
    <row r="612">
      <c r="A612" s="17"/>
      <c r="B612" s="17"/>
      <c r="C612" s="17"/>
      <c r="D612" s="23"/>
      <c r="E612" s="38"/>
      <c r="F612" s="35"/>
      <c r="G612" s="22"/>
      <c r="H612" s="23"/>
      <c r="I612" s="17"/>
      <c r="J612" s="23"/>
      <c r="K612" s="23"/>
      <c r="L612" s="23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</row>
    <row r="613">
      <c r="A613" s="17"/>
      <c r="B613" s="17"/>
      <c r="C613" s="17"/>
      <c r="D613" s="23"/>
      <c r="E613" s="38"/>
      <c r="F613" s="35"/>
      <c r="G613" s="22"/>
      <c r="H613" s="23"/>
      <c r="I613" s="17"/>
      <c r="J613" s="23"/>
      <c r="K613" s="23"/>
      <c r="L613" s="23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</row>
    <row r="614">
      <c r="A614" s="17"/>
      <c r="B614" s="17"/>
      <c r="C614" s="17"/>
      <c r="D614" s="23"/>
      <c r="E614" s="38"/>
      <c r="F614" s="35"/>
      <c r="G614" s="22"/>
      <c r="H614" s="23"/>
      <c r="I614" s="17"/>
      <c r="J614" s="23"/>
      <c r="K614" s="23"/>
      <c r="L614" s="23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</row>
    <row r="615">
      <c r="A615" s="17"/>
      <c r="B615" s="17"/>
      <c r="C615" s="17"/>
      <c r="D615" s="23"/>
      <c r="E615" s="38"/>
      <c r="F615" s="35"/>
      <c r="G615" s="22"/>
      <c r="H615" s="23"/>
      <c r="I615" s="17"/>
      <c r="J615" s="23"/>
      <c r="K615" s="23"/>
      <c r="L615" s="23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</row>
    <row r="616">
      <c r="A616" s="17"/>
      <c r="B616" s="17"/>
      <c r="C616" s="17"/>
      <c r="D616" s="23"/>
      <c r="E616" s="38"/>
      <c r="F616" s="35"/>
      <c r="G616" s="22"/>
      <c r="H616" s="23"/>
      <c r="I616" s="17"/>
      <c r="J616" s="23"/>
      <c r="K616" s="23"/>
      <c r="L616" s="23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</row>
    <row r="617">
      <c r="A617" s="17"/>
      <c r="B617" s="17"/>
      <c r="C617" s="17"/>
      <c r="D617" s="23"/>
      <c r="E617" s="38"/>
      <c r="F617" s="35"/>
      <c r="G617" s="22"/>
      <c r="H617" s="23"/>
      <c r="I617" s="17"/>
      <c r="J617" s="23"/>
      <c r="K617" s="23"/>
      <c r="L617" s="23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</row>
    <row r="618">
      <c r="A618" s="17"/>
      <c r="B618" s="17"/>
      <c r="C618" s="17"/>
      <c r="D618" s="23"/>
      <c r="E618" s="38"/>
      <c r="F618" s="35"/>
      <c r="G618" s="22"/>
      <c r="H618" s="23"/>
      <c r="I618" s="17"/>
      <c r="J618" s="23"/>
      <c r="K618" s="23"/>
      <c r="L618" s="23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</row>
    <row r="619">
      <c r="A619" s="17"/>
      <c r="B619" s="17"/>
      <c r="C619" s="17"/>
      <c r="D619" s="23"/>
      <c r="E619" s="38"/>
      <c r="F619" s="35"/>
      <c r="G619" s="22"/>
      <c r="H619" s="23"/>
      <c r="I619" s="17"/>
      <c r="J619" s="23"/>
      <c r="K619" s="23"/>
      <c r="L619" s="23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</row>
    <row r="620">
      <c r="A620" s="17"/>
      <c r="B620" s="17"/>
      <c r="C620" s="17"/>
      <c r="D620" s="23"/>
      <c r="E620" s="38"/>
      <c r="F620" s="35"/>
      <c r="G620" s="22"/>
      <c r="H620" s="23"/>
      <c r="I620" s="17"/>
      <c r="J620" s="23"/>
      <c r="K620" s="23"/>
      <c r="L620" s="23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</row>
    <row r="621">
      <c r="A621" s="17"/>
      <c r="B621" s="17"/>
      <c r="C621" s="17"/>
      <c r="D621" s="23"/>
      <c r="E621" s="38"/>
      <c r="F621" s="35"/>
      <c r="G621" s="22"/>
      <c r="H621" s="23"/>
      <c r="I621" s="17"/>
      <c r="J621" s="23"/>
      <c r="K621" s="23"/>
      <c r="L621" s="23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</row>
    <row r="622">
      <c r="A622" s="17"/>
      <c r="B622" s="17"/>
      <c r="C622" s="17"/>
      <c r="D622" s="23"/>
      <c r="E622" s="38"/>
      <c r="F622" s="35"/>
      <c r="G622" s="22"/>
      <c r="H622" s="23"/>
      <c r="I622" s="17"/>
      <c r="J622" s="23"/>
      <c r="K622" s="23"/>
      <c r="L622" s="23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</row>
    <row r="623">
      <c r="A623" s="17"/>
      <c r="B623" s="17"/>
      <c r="C623" s="17"/>
      <c r="D623" s="23"/>
      <c r="E623" s="38"/>
      <c r="F623" s="35"/>
      <c r="G623" s="22"/>
      <c r="H623" s="23"/>
      <c r="I623" s="17"/>
      <c r="J623" s="23"/>
      <c r="K623" s="23"/>
      <c r="L623" s="23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</row>
    <row r="624">
      <c r="A624" s="17"/>
      <c r="B624" s="17"/>
      <c r="C624" s="17"/>
      <c r="D624" s="23"/>
      <c r="E624" s="38"/>
      <c r="F624" s="35"/>
      <c r="G624" s="22"/>
      <c r="H624" s="23"/>
      <c r="I624" s="17"/>
      <c r="J624" s="23"/>
      <c r="K624" s="23"/>
      <c r="L624" s="23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</row>
    <row r="625">
      <c r="A625" s="17"/>
      <c r="B625" s="17"/>
      <c r="C625" s="17"/>
      <c r="D625" s="23"/>
      <c r="E625" s="38"/>
      <c r="F625" s="35"/>
      <c r="G625" s="22"/>
      <c r="H625" s="23"/>
      <c r="I625" s="17"/>
      <c r="J625" s="23"/>
      <c r="K625" s="23"/>
      <c r="L625" s="23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</row>
    <row r="626">
      <c r="A626" s="17"/>
      <c r="B626" s="17"/>
      <c r="C626" s="17"/>
      <c r="D626" s="23"/>
      <c r="E626" s="38"/>
      <c r="F626" s="35"/>
      <c r="G626" s="22"/>
      <c r="H626" s="23"/>
      <c r="I626" s="17"/>
      <c r="J626" s="23"/>
      <c r="K626" s="23"/>
      <c r="L626" s="23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</row>
    <row r="627">
      <c r="A627" s="17"/>
      <c r="B627" s="17"/>
      <c r="C627" s="17"/>
      <c r="D627" s="23"/>
      <c r="E627" s="38"/>
      <c r="F627" s="35"/>
      <c r="G627" s="22"/>
      <c r="H627" s="23"/>
      <c r="I627" s="17"/>
      <c r="J627" s="23"/>
      <c r="K627" s="23"/>
      <c r="L627" s="23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</row>
    <row r="628">
      <c r="A628" s="17"/>
      <c r="B628" s="17"/>
      <c r="C628" s="17"/>
      <c r="D628" s="23"/>
      <c r="E628" s="38"/>
      <c r="F628" s="35"/>
      <c r="G628" s="22"/>
      <c r="H628" s="23"/>
      <c r="I628" s="17"/>
      <c r="J628" s="23"/>
      <c r="K628" s="23"/>
      <c r="L628" s="23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</row>
    <row r="629">
      <c r="A629" s="17"/>
      <c r="B629" s="17"/>
      <c r="C629" s="17"/>
      <c r="D629" s="23"/>
      <c r="E629" s="38"/>
      <c r="F629" s="35"/>
      <c r="G629" s="22"/>
      <c r="H629" s="23"/>
      <c r="I629" s="17"/>
      <c r="J629" s="23"/>
      <c r="K629" s="23"/>
      <c r="L629" s="23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</row>
    <row r="630">
      <c r="A630" s="17"/>
      <c r="B630" s="17"/>
      <c r="C630" s="17"/>
      <c r="D630" s="23"/>
      <c r="E630" s="38"/>
      <c r="F630" s="35"/>
      <c r="G630" s="22"/>
      <c r="H630" s="23"/>
      <c r="I630" s="17"/>
      <c r="J630" s="23"/>
      <c r="K630" s="23"/>
      <c r="L630" s="23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</row>
    <row r="631">
      <c r="A631" s="17"/>
      <c r="B631" s="17"/>
      <c r="C631" s="17"/>
      <c r="D631" s="23"/>
      <c r="E631" s="38"/>
      <c r="F631" s="35"/>
      <c r="G631" s="22"/>
      <c r="H631" s="23"/>
      <c r="I631" s="17"/>
      <c r="J631" s="23"/>
      <c r="K631" s="23"/>
      <c r="L631" s="23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</row>
    <row r="632">
      <c r="A632" s="17"/>
      <c r="B632" s="17"/>
      <c r="C632" s="17"/>
      <c r="D632" s="23"/>
      <c r="E632" s="38"/>
      <c r="F632" s="35"/>
      <c r="G632" s="22"/>
      <c r="H632" s="23"/>
      <c r="I632" s="17"/>
      <c r="J632" s="23"/>
      <c r="K632" s="23"/>
      <c r="L632" s="23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</row>
    <row r="633">
      <c r="A633" s="17"/>
      <c r="B633" s="17"/>
      <c r="C633" s="17"/>
      <c r="D633" s="23"/>
      <c r="E633" s="38"/>
      <c r="F633" s="35"/>
      <c r="G633" s="22"/>
      <c r="H633" s="23"/>
      <c r="I633" s="17"/>
      <c r="J633" s="23"/>
      <c r="K633" s="23"/>
      <c r="L633" s="23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</row>
    <row r="634">
      <c r="A634" s="17"/>
      <c r="B634" s="17"/>
      <c r="C634" s="17"/>
      <c r="D634" s="23"/>
      <c r="E634" s="38"/>
      <c r="F634" s="35"/>
      <c r="G634" s="22"/>
      <c r="H634" s="23"/>
      <c r="I634" s="17"/>
      <c r="J634" s="23"/>
      <c r="K634" s="23"/>
      <c r="L634" s="23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</row>
    <row r="635">
      <c r="A635" s="17"/>
      <c r="B635" s="17"/>
      <c r="C635" s="17"/>
      <c r="D635" s="23"/>
      <c r="E635" s="38"/>
      <c r="F635" s="35"/>
      <c r="G635" s="22"/>
      <c r="H635" s="23"/>
      <c r="I635" s="17"/>
      <c r="J635" s="23"/>
      <c r="K635" s="23"/>
      <c r="L635" s="23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</row>
    <row r="636">
      <c r="A636" s="17"/>
      <c r="B636" s="17"/>
      <c r="C636" s="17"/>
      <c r="D636" s="23"/>
      <c r="E636" s="38"/>
      <c r="F636" s="35"/>
      <c r="G636" s="22"/>
      <c r="H636" s="23"/>
      <c r="I636" s="17"/>
      <c r="J636" s="23"/>
      <c r="K636" s="23"/>
      <c r="L636" s="23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</row>
    <row r="637">
      <c r="A637" s="17"/>
      <c r="B637" s="17"/>
      <c r="C637" s="17"/>
      <c r="D637" s="23"/>
      <c r="E637" s="38"/>
      <c r="F637" s="35"/>
      <c r="G637" s="22"/>
      <c r="H637" s="23"/>
      <c r="I637" s="17"/>
      <c r="J637" s="23"/>
      <c r="K637" s="23"/>
      <c r="L637" s="23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</row>
    <row r="638">
      <c r="A638" s="17"/>
      <c r="B638" s="17"/>
      <c r="C638" s="17"/>
      <c r="D638" s="23"/>
      <c r="E638" s="38"/>
      <c r="F638" s="35"/>
      <c r="G638" s="22"/>
      <c r="H638" s="23"/>
      <c r="I638" s="17"/>
      <c r="J638" s="23"/>
      <c r="K638" s="23"/>
      <c r="L638" s="23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</row>
    <row r="639">
      <c r="A639" s="17"/>
      <c r="B639" s="17"/>
      <c r="C639" s="17"/>
      <c r="D639" s="23"/>
      <c r="E639" s="38"/>
      <c r="F639" s="35"/>
      <c r="G639" s="22"/>
      <c r="H639" s="23"/>
      <c r="I639" s="17"/>
      <c r="J639" s="23"/>
      <c r="K639" s="23"/>
      <c r="L639" s="23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</row>
    <row r="640">
      <c r="A640" s="17"/>
      <c r="B640" s="17"/>
      <c r="C640" s="17"/>
      <c r="D640" s="23"/>
      <c r="E640" s="38"/>
      <c r="F640" s="35"/>
      <c r="G640" s="22"/>
      <c r="H640" s="23"/>
      <c r="I640" s="17"/>
      <c r="J640" s="23"/>
      <c r="K640" s="23"/>
      <c r="L640" s="23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</row>
    <row r="641">
      <c r="A641" s="17"/>
      <c r="B641" s="17"/>
      <c r="C641" s="17"/>
      <c r="D641" s="23"/>
      <c r="E641" s="38"/>
      <c r="F641" s="35"/>
      <c r="G641" s="22"/>
      <c r="H641" s="23"/>
      <c r="I641" s="17"/>
      <c r="J641" s="23"/>
      <c r="K641" s="23"/>
      <c r="L641" s="23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</row>
    <row r="642">
      <c r="A642" s="17"/>
      <c r="B642" s="17"/>
      <c r="C642" s="17"/>
      <c r="D642" s="23"/>
      <c r="E642" s="38"/>
      <c r="F642" s="35"/>
      <c r="G642" s="22"/>
      <c r="H642" s="23"/>
      <c r="I642" s="17"/>
      <c r="J642" s="23"/>
      <c r="K642" s="23"/>
      <c r="L642" s="23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</row>
    <row r="643">
      <c r="A643" s="17"/>
      <c r="B643" s="17"/>
      <c r="C643" s="17"/>
      <c r="D643" s="23"/>
      <c r="E643" s="38"/>
      <c r="F643" s="35"/>
      <c r="G643" s="22"/>
      <c r="H643" s="23"/>
      <c r="I643" s="17"/>
      <c r="J643" s="23"/>
      <c r="K643" s="23"/>
      <c r="L643" s="23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</row>
    <row r="644">
      <c r="A644" s="17"/>
      <c r="B644" s="17"/>
      <c r="C644" s="17"/>
      <c r="D644" s="23"/>
      <c r="E644" s="38"/>
      <c r="F644" s="35"/>
      <c r="G644" s="22"/>
      <c r="H644" s="23"/>
      <c r="I644" s="17"/>
      <c r="J644" s="23"/>
      <c r="K644" s="23"/>
      <c r="L644" s="23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</row>
    <row r="645">
      <c r="A645" s="17"/>
      <c r="B645" s="17"/>
      <c r="C645" s="17"/>
      <c r="D645" s="23"/>
      <c r="E645" s="38"/>
      <c r="F645" s="35"/>
      <c r="G645" s="22"/>
      <c r="H645" s="23"/>
      <c r="I645" s="17"/>
      <c r="J645" s="23"/>
      <c r="K645" s="23"/>
      <c r="L645" s="23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</row>
    <row r="646">
      <c r="A646" s="17"/>
      <c r="B646" s="17"/>
      <c r="C646" s="17"/>
      <c r="D646" s="23"/>
      <c r="E646" s="38"/>
      <c r="F646" s="35"/>
      <c r="G646" s="22"/>
      <c r="H646" s="23"/>
      <c r="I646" s="17"/>
      <c r="J646" s="23"/>
      <c r="K646" s="23"/>
      <c r="L646" s="23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</row>
    <row r="647">
      <c r="A647" s="17"/>
      <c r="B647" s="17"/>
      <c r="C647" s="17"/>
      <c r="D647" s="23"/>
      <c r="E647" s="38"/>
      <c r="F647" s="35"/>
      <c r="G647" s="22"/>
      <c r="H647" s="23"/>
      <c r="I647" s="17"/>
      <c r="J647" s="23"/>
      <c r="K647" s="23"/>
      <c r="L647" s="23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</row>
    <row r="648">
      <c r="A648" s="17"/>
      <c r="B648" s="17"/>
      <c r="C648" s="17"/>
      <c r="D648" s="23"/>
      <c r="E648" s="38"/>
      <c r="F648" s="35"/>
      <c r="G648" s="22"/>
      <c r="H648" s="23"/>
      <c r="I648" s="17"/>
      <c r="J648" s="23"/>
      <c r="K648" s="23"/>
      <c r="L648" s="23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</row>
    <row r="649">
      <c r="A649" s="17"/>
      <c r="B649" s="17"/>
      <c r="C649" s="17"/>
      <c r="D649" s="23"/>
      <c r="E649" s="38"/>
      <c r="F649" s="35"/>
      <c r="G649" s="22"/>
      <c r="H649" s="23"/>
      <c r="I649" s="17"/>
      <c r="J649" s="23"/>
      <c r="K649" s="23"/>
      <c r="L649" s="23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</row>
    <row r="650">
      <c r="A650" s="17"/>
      <c r="B650" s="17"/>
      <c r="C650" s="17"/>
      <c r="D650" s="23"/>
      <c r="E650" s="38"/>
      <c r="F650" s="35"/>
      <c r="G650" s="22"/>
      <c r="H650" s="23"/>
      <c r="I650" s="17"/>
      <c r="J650" s="23"/>
      <c r="K650" s="23"/>
      <c r="L650" s="23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</row>
    <row r="651">
      <c r="A651" s="17"/>
      <c r="B651" s="17"/>
      <c r="C651" s="17"/>
      <c r="D651" s="23"/>
      <c r="E651" s="38"/>
      <c r="F651" s="35"/>
      <c r="G651" s="22"/>
      <c r="H651" s="23"/>
      <c r="I651" s="17"/>
      <c r="J651" s="23"/>
      <c r="K651" s="23"/>
      <c r="L651" s="23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</row>
    <row r="652">
      <c r="A652" s="17"/>
      <c r="B652" s="17"/>
      <c r="C652" s="17"/>
      <c r="D652" s="23"/>
      <c r="E652" s="38"/>
      <c r="F652" s="35"/>
      <c r="G652" s="22"/>
      <c r="H652" s="23"/>
      <c r="I652" s="17"/>
      <c r="J652" s="23"/>
      <c r="K652" s="23"/>
      <c r="L652" s="23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</row>
    <row r="653">
      <c r="A653" s="17"/>
      <c r="B653" s="17"/>
      <c r="C653" s="17"/>
      <c r="D653" s="23"/>
      <c r="E653" s="38"/>
      <c r="F653" s="35"/>
      <c r="G653" s="22"/>
      <c r="H653" s="23"/>
      <c r="I653" s="17"/>
      <c r="J653" s="23"/>
      <c r="K653" s="23"/>
      <c r="L653" s="23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</row>
    <row r="654">
      <c r="A654" s="17"/>
      <c r="B654" s="17"/>
      <c r="C654" s="17"/>
      <c r="D654" s="23"/>
      <c r="E654" s="38"/>
      <c r="F654" s="35"/>
      <c r="G654" s="22"/>
      <c r="H654" s="23"/>
      <c r="I654" s="17"/>
      <c r="J654" s="23"/>
      <c r="K654" s="23"/>
      <c r="L654" s="23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</row>
    <row r="655">
      <c r="A655" s="17"/>
      <c r="B655" s="17"/>
      <c r="C655" s="17"/>
      <c r="D655" s="23"/>
      <c r="E655" s="38"/>
      <c r="F655" s="35"/>
      <c r="G655" s="22"/>
      <c r="H655" s="23"/>
      <c r="I655" s="17"/>
      <c r="J655" s="23"/>
      <c r="K655" s="23"/>
      <c r="L655" s="23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</row>
    <row r="656">
      <c r="A656" s="17"/>
      <c r="B656" s="17"/>
      <c r="C656" s="17"/>
      <c r="D656" s="23"/>
      <c r="E656" s="38"/>
      <c r="F656" s="35"/>
      <c r="G656" s="22"/>
      <c r="H656" s="23"/>
      <c r="I656" s="17"/>
      <c r="J656" s="23"/>
      <c r="K656" s="23"/>
      <c r="L656" s="23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</row>
    <row r="657">
      <c r="A657" s="17"/>
      <c r="B657" s="17"/>
      <c r="C657" s="17"/>
      <c r="D657" s="23"/>
      <c r="E657" s="38"/>
      <c r="F657" s="35"/>
      <c r="G657" s="22"/>
      <c r="H657" s="23"/>
      <c r="I657" s="17"/>
      <c r="J657" s="23"/>
      <c r="K657" s="23"/>
      <c r="L657" s="23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</row>
    <row r="658">
      <c r="A658" s="17"/>
      <c r="B658" s="17"/>
      <c r="C658" s="17"/>
      <c r="D658" s="23"/>
      <c r="E658" s="38"/>
      <c r="F658" s="35"/>
      <c r="G658" s="22"/>
      <c r="H658" s="23"/>
      <c r="I658" s="17"/>
      <c r="J658" s="23"/>
      <c r="K658" s="23"/>
      <c r="L658" s="23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</row>
    <row r="659">
      <c r="A659" s="17"/>
      <c r="B659" s="17"/>
      <c r="C659" s="17"/>
      <c r="D659" s="23"/>
      <c r="E659" s="38"/>
      <c r="F659" s="35"/>
      <c r="G659" s="22"/>
      <c r="H659" s="23"/>
      <c r="I659" s="17"/>
      <c r="J659" s="23"/>
      <c r="K659" s="23"/>
      <c r="L659" s="23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</row>
    <row r="660">
      <c r="A660" s="17"/>
      <c r="B660" s="17"/>
      <c r="C660" s="17"/>
      <c r="D660" s="23"/>
      <c r="E660" s="38"/>
      <c r="F660" s="35"/>
      <c r="G660" s="22"/>
      <c r="H660" s="23"/>
      <c r="I660" s="17"/>
      <c r="J660" s="23"/>
      <c r="K660" s="23"/>
      <c r="L660" s="23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</row>
    <row r="661">
      <c r="A661" s="17"/>
      <c r="B661" s="17"/>
      <c r="C661" s="17"/>
      <c r="D661" s="23"/>
      <c r="E661" s="38"/>
      <c r="F661" s="35"/>
      <c r="G661" s="22"/>
      <c r="H661" s="23"/>
      <c r="I661" s="17"/>
      <c r="J661" s="23"/>
      <c r="K661" s="23"/>
      <c r="L661" s="23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</row>
    <row r="662">
      <c r="A662" s="17"/>
      <c r="B662" s="17"/>
      <c r="C662" s="17"/>
      <c r="D662" s="23"/>
      <c r="E662" s="38"/>
      <c r="F662" s="35"/>
      <c r="G662" s="22"/>
      <c r="H662" s="23"/>
      <c r="I662" s="17"/>
      <c r="J662" s="23"/>
      <c r="K662" s="23"/>
      <c r="L662" s="23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</row>
    <row r="663">
      <c r="A663" s="17"/>
      <c r="B663" s="17"/>
      <c r="C663" s="17"/>
      <c r="D663" s="23"/>
      <c r="E663" s="38"/>
      <c r="F663" s="35"/>
      <c r="G663" s="22"/>
      <c r="H663" s="23"/>
      <c r="I663" s="17"/>
      <c r="J663" s="23"/>
      <c r="K663" s="23"/>
      <c r="L663" s="23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</row>
    <row r="664">
      <c r="A664" s="17"/>
      <c r="B664" s="17"/>
      <c r="C664" s="17"/>
      <c r="D664" s="23"/>
      <c r="E664" s="38"/>
      <c r="F664" s="35"/>
      <c r="G664" s="22"/>
      <c r="H664" s="23"/>
      <c r="I664" s="17"/>
      <c r="J664" s="23"/>
      <c r="K664" s="23"/>
      <c r="L664" s="23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</row>
    <row r="665">
      <c r="A665" s="17"/>
      <c r="B665" s="17"/>
      <c r="C665" s="17"/>
      <c r="D665" s="23"/>
      <c r="E665" s="38"/>
      <c r="F665" s="35"/>
      <c r="G665" s="22"/>
      <c r="H665" s="23"/>
      <c r="I665" s="17"/>
      <c r="J665" s="23"/>
      <c r="K665" s="23"/>
      <c r="L665" s="23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</row>
    <row r="666">
      <c r="A666" s="17"/>
      <c r="B666" s="17"/>
      <c r="C666" s="17"/>
      <c r="D666" s="23"/>
      <c r="E666" s="38"/>
      <c r="F666" s="35"/>
      <c r="G666" s="22"/>
      <c r="H666" s="23"/>
      <c r="I666" s="17"/>
      <c r="J666" s="23"/>
      <c r="K666" s="23"/>
      <c r="L666" s="23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</row>
    <row r="667">
      <c r="A667" s="17"/>
      <c r="B667" s="17"/>
      <c r="C667" s="17"/>
      <c r="D667" s="23"/>
      <c r="E667" s="38"/>
      <c r="F667" s="35"/>
      <c r="G667" s="22"/>
      <c r="H667" s="23"/>
      <c r="I667" s="17"/>
      <c r="J667" s="23"/>
      <c r="K667" s="23"/>
      <c r="L667" s="23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</row>
    <row r="668">
      <c r="A668" s="17"/>
      <c r="B668" s="17"/>
      <c r="C668" s="17"/>
      <c r="D668" s="23"/>
      <c r="E668" s="38"/>
      <c r="F668" s="35"/>
      <c r="G668" s="22"/>
      <c r="H668" s="23"/>
      <c r="I668" s="17"/>
      <c r="J668" s="23"/>
      <c r="K668" s="23"/>
      <c r="L668" s="23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</row>
    <row r="669">
      <c r="A669" s="17"/>
      <c r="B669" s="17"/>
      <c r="C669" s="17"/>
      <c r="D669" s="23"/>
      <c r="E669" s="38"/>
      <c r="F669" s="35"/>
      <c r="G669" s="22"/>
      <c r="H669" s="23"/>
      <c r="I669" s="17"/>
      <c r="J669" s="23"/>
      <c r="K669" s="23"/>
      <c r="L669" s="23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</row>
    <row r="670">
      <c r="A670" s="17"/>
      <c r="B670" s="17"/>
      <c r="C670" s="17"/>
      <c r="D670" s="23"/>
      <c r="E670" s="38"/>
      <c r="F670" s="35"/>
      <c r="G670" s="22"/>
      <c r="H670" s="23"/>
      <c r="I670" s="17"/>
      <c r="J670" s="23"/>
      <c r="K670" s="23"/>
      <c r="L670" s="23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</row>
    <row r="671">
      <c r="A671" s="17"/>
      <c r="B671" s="17"/>
      <c r="C671" s="17"/>
      <c r="D671" s="23"/>
      <c r="E671" s="38"/>
      <c r="F671" s="35"/>
      <c r="G671" s="22"/>
      <c r="H671" s="23"/>
      <c r="I671" s="17"/>
      <c r="J671" s="23"/>
      <c r="K671" s="23"/>
      <c r="L671" s="23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</row>
    <row r="672">
      <c r="A672" s="17"/>
      <c r="B672" s="17"/>
      <c r="C672" s="17"/>
      <c r="D672" s="23"/>
      <c r="E672" s="38"/>
      <c r="F672" s="35"/>
      <c r="G672" s="22"/>
      <c r="H672" s="23"/>
      <c r="I672" s="17"/>
      <c r="J672" s="23"/>
      <c r="K672" s="23"/>
      <c r="L672" s="23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</row>
    <row r="673">
      <c r="A673" s="17"/>
      <c r="B673" s="17"/>
      <c r="C673" s="17"/>
      <c r="D673" s="23"/>
      <c r="E673" s="38"/>
      <c r="F673" s="35"/>
      <c r="G673" s="22"/>
      <c r="H673" s="23"/>
      <c r="I673" s="17"/>
      <c r="J673" s="23"/>
      <c r="K673" s="23"/>
      <c r="L673" s="23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</row>
    <row r="674">
      <c r="A674" s="17"/>
      <c r="B674" s="17"/>
      <c r="C674" s="17"/>
      <c r="D674" s="23"/>
      <c r="E674" s="38"/>
      <c r="F674" s="35"/>
      <c r="G674" s="22"/>
      <c r="H674" s="23"/>
      <c r="I674" s="17"/>
      <c r="J674" s="23"/>
      <c r="K674" s="23"/>
      <c r="L674" s="23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</row>
    <row r="675">
      <c r="A675" s="17"/>
      <c r="B675" s="17"/>
      <c r="C675" s="17"/>
      <c r="D675" s="23"/>
      <c r="E675" s="38"/>
      <c r="F675" s="35"/>
      <c r="G675" s="22"/>
      <c r="H675" s="23"/>
      <c r="I675" s="17"/>
      <c r="J675" s="23"/>
      <c r="K675" s="23"/>
      <c r="L675" s="23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</row>
    <row r="676">
      <c r="A676" s="17"/>
      <c r="B676" s="17"/>
      <c r="C676" s="17"/>
      <c r="D676" s="23"/>
      <c r="E676" s="38"/>
      <c r="F676" s="35"/>
      <c r="G676" s="22"/>
      <c r="H676" s="23"/>
      <c r="I676" s="17"/>
      <c r="J676" s="23"/>
      <c r="K676" s="23"/>
      <c r="L676" s="23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</row>
    <row r="677">
      <c r="A677" s="17"/>
      <c r="B677" s="17"/>
      <c r="C677" s="17"/>
      <c r="D677" s="23"/>
      <c r="E677" s="38"/>
      <c r="F677" s="35"/>
      <c r="G677" s="22"/>
      <c r="H677" s="23"/>
      <c r="I677" s="17"/>
      <c r="J677" s="23"/>
      <c r="K677" s="23"/>
      <c r="L677" s="23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</row>
    <row r="678">
      <c r="A678" s="17"/>
      <c r="B678" s="17"/>
      <c r="C678" s="17"/>
      <c r="D678" s="23"/>
      <c r="E678" s="38"/>
      <c r="F678" s="35"/>
      <c r="G678" s="22"/>
      <c r="H678" s="23"/>
      <c r="I678" s="17"/>
      <c r="J678" s="23"/>
      <c r="K678" s="23"/>
      <c r="L678" s="23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</row>
    <row r="679">
      <c r="A679" s="17"/>
      <c r="B679" s="17"/>
      <c r="C679" s="17"/>
      <c r="D679" s="23"/>
      <c r="E679" s="38"/>
      <c r="F679" s="35"/>
      <c r="G679" s="22"/>
      <c r="H679" s="23"/>
      <c r="I679" s="17"/>
      <c r="J679" s="23"/>
      <c r="K679" s="23"/>
      <c r="L679" s="23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</row>
    <row r="680">
      <c r="A680" s="17"/>
      <c r="B680" s="17"/>
      <c r="C680" s="17"/>
      <c r="D680" s="23"/>
      <c r="E680" s="38"/>
      <c r="F680" s="35"/>
      <c r="G680" s="22"/>
      <c r="H680" s="23"/>
      <c r="I680" s="17"/>
      <c r="J680" s="23"/>
      <c r="K680" s="23"/>
      <c r="L680" s="23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</row>
    <row r="681">
      <c r="A681" s="17"/>
      <c r="B681" s="17"/>
      <c r="C681" s="17"/>
      <c r="D681" s="23"/>
      <c r="E681" s="38"/>
      <c r="F681" s="35"/>
      <c r="G681" s="22"/>
      <c r="H681" s="23"/>
      <c r="I681" s="17"/>
      <c r="J681" s="23"/>
      <c r="K681" s="23"/>
      <c r="L681" s="23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</row>
    <row r="682">
      <c r="A682" s="17"/>
      <c r="B682" s="17"/>
      <c r="C682" s="17"/>
      <c r="D682" s="23"/>
      <c r="E682" s="38"/>
      <c r="F682" s="35"/>
      <c r="G682" s="22"/>
      <c r="H682" s="23"/>
      <c r="I682" s="17"/>
      <c r="J682" s="23"/>
      <c r="K682" s="23"/>
      <c r="L682" s="23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</row>
    <row r="683">
      <c r="A683" s="17"/>
      <c r="B683" s="17"/>
      <c r="C683" s="17"/>
      <c r="D683" s="23"/>
      <c r="E683" s="38"/>
      <c r="F683" s="35"/>
      <c r="G683" s="22"/>
      <c r="H683" s="23"/>
      <c r="I683" s="17"/>
      <c r="J683" s="23"/>
      <c r="K683" s="23"/>
      <c r="L683" s="23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</row>
    <row r="684">
      <c r="A684" s="17"/>
      <c r="B684" s="17"/>
      <c r="C684" s="17"/>
      <c r="D684" s="23"/>
      <c r="E684" s="38"/>
      <c r="F684" s="35"/>
      <c r="G684" s="22"/>
      <c r="H684" s="23"/>
      <c r="I684" s="17"/>
      <c r="J684" s="23"/>
      <c r="K684" s="23"/>
      <c r="L684" s="23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</row>
    <row r="685">
      <c r="A685" s="17"/>
      <c r="B685" s="17"/>
      <c r="C685" s="17"/>
      <c r="D685" s="23"/>
      <c r="E685" s="38"/>
      <c r="F685" s="35"/>
      <c r="G685" s="22"/>
      <c r="H685" s="23"/>
      <c r="I685" s="17"/>
      <c r="J685" s="23"/>
      <c r="K685" s="23"/>
      <c r="L685" s="23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</row>
    <row r="686">
      <c r="A686" s="17"/>
      <c r="B686" s="17"/>
      <c r="C686" s="17"/>
      <c r="D686" s="23"/>
      <c r="E686" s="38"/>
      <c r="F686" s="35"/>
      <c r="G686" s="22"/>
      <c r="H686" s="23"/>
      <c r="I686" s="17"/>
      <c r="J686" s="23"/>
      <c r="K686" s="23"/>
      <c r="L686" s="23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</row>
    <row r="687">
      <c r="A687" s="17"/>
      <c r="B687" s="17"/>
      <c r="C687" s="17"/>
      <c r="D687" s="23"/>
      <c r="E687" s="38"/>
      <c r="F687" s="35"/>
      <c r="G687" s="22"/>
      <c r="H687" s="23"/>
      <c r="I687" s="17"/>
      <c r="J687" s="23"/>
      <c r="K687" s="23"/>
      <c r="L687" s="23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</row>
    <row r="688">
      <c r="A688" s="17"/>
      <c r="B688" s="17"/>
      <c r="C688" s="17"/>
      <c r="D688" s="23"/>
      <c r="E688" s="38"/>
      <c r="F688" s="35"/>
      <c r="G688" s="22"/>
      <c r="H688" s="23"/>
      <c r="I688" s="17"/>
      <c r="J688" s="23"/>
      <c r="K688" s="23"/>
      <c r="L688" s="23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</row>
    <row r="689">
      <c r="A689" s="17"/>
      <c r="B689" s="17"/>
      <c r="C689" s="17"/>
      <c r="D689" s="23"/>
      <c r="E689" s="38"/>
      <c r="F689" s="35"/>
      <c r="G689" s="22"/>
      <c r="H689" s="23"/>
      <c r="I689" s="17"/>
      <c r="J689" s="23"/>
      <c r="K689" s="23"/>
      <c r="L689" s="23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</row>
    <row r="690">
      <c r="A690" s="17"/>
      <c r="B690" s="17"/>
      <c r="C690" s="17"/>
      <c r="D690" s="23"/>
      <c r="E690" s="38"/>
      <c r="F690" s="35"/>
      <c r="G690" s="22"/>
      <c r="H690" s="23"/>
      <c r="I690" s="17"/>
      <c r="J690" s="23"/>
      <c r="K690" s="23"/>
      <c r="L690" s="23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</row>
    <row r="691">
      <c r="A691" s="17"/>
      <c r="B691" s="17"/>
      <c r="C691" s="17"/>
      <c r="D691" s="23"/>
      <c r="E691" s="38"/>
      <c r="F691" s="35"/>
      <c r="G691" s="22"/>
      <c r="H691" s="23"/>
      <c r="I691" s="17"/>
      <c r="J691" s="23"/>
      <c r="K691" s="23"/>
      <c r="L691" s="23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</row>
    <row r="692">
      <c r="A692" s="17"/>
      <c r="B692" s="17"/>
      <c r="C692" s="17"/>
      <c r="D692" s="23"/>
      <c r="E692" s="38"/>
      <c r="F692" s="35"/>
      <c r="G692" s="22"/>
      <c r="H692" s="23"/>
      <c r="I692" s="17"/>
      <c r="J692" s="23"/>
      <c r="K692" s="23"/>
      <c r="L692" s="23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</row>
    <row r="693">
      <c r="A693" s="17"/>
      <c r="B693" s="17"/>
      <c r="C693" s="17"/>
      <c r="D693" s="23"/>
      <c r="E693" s="38"/>
      <c r="F693" s="35"/>
      <c r="G693" s="22"/>
      <c r="H693" s="23"/>
      <c r="I693" s="17"/>
      <c r="J693" s="23"/>
      <c r="K693" s="23"/>
      <c r="L693" s="23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</row>
    <row r="694">
      <c r="A694" s="17"/>
      <c r="B694" s="17"/>
      <c r="C694" s="17"/>
      <c r="D694" s="23"/>
      <c r="E694" s="38"/>
      <c r="F694" s="35"/>
      <c r="G694" s="22"/>
      <c r="H694" s="23"/>
      <c r="I694" s="17"/>
      <c r="J694" s="23"/>
      <c r="K694" s="23"/>
      <c r="L694" s="23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</row>
    <row r="695">
      <c r="A695" s="17"/>
      <c r="B695" s="17"/>
      <c r="C695" s="17"/>
      <c r="D695" s="23"/>
      <c r="E695" s="38"/>
      <c r="F695" s="35"/>
      <c r="G695" s="22"/>
      <c r="H695" s="23"/>
      <c r="I695" s="17"/>
      <c r="J695" s="23"/>
      <c r="K695" s="23"/>
      <c r="L695" s="23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</row>
    <row r="696">
      <c r="A696" s="17"/>
      <c r="B696" s="17"/>
      <c r="C696" s="17"/>
      <c r="D696" s="23"/>
      <c r="E696" s="38"/>
      <c r="F696" s="35"/>
      <c r="G696" s="22"/>
      <c r="H696" s="23"/>
      <c r="I696" s="17"/>
      <c r="J696" s="23"/>
      <c r="K696" s="23"/>
      <c r="L696" s="23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</row>
    <row r="697">
      <c r="A697" s="17"/>
      <c r="B697" s="17"/>
      <c r="C697" s="17"/>
      <c r="D697" s="23"/>
      <c r="E697" s="38"/>
      <c r="F697" s="35"/>
      <c r="G697" s="22"/>
      <c r="H697" s="23"/>
      <c r="I697" s="17"/>
      <c r="J697" s="23"/>
      <c r="K697" s="23"/>
      <c r="L697" s="23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</row>
    <row r="698">
      <c r="A698" s="17"/>
      <c r="B698" s="17"/>
      <c r="C698" s="17"/>
      <c r="D698" s="23"/>
      <c r="E698" s="38"/>
      <c r="F698" s="35"/>
      <c r="G698" s="22"/>
      <c r="H698" s="23"/>
      <c r="I698" s="17"/>
      <c r="J698" s="23"/>
      <c r="K698" s="23"/>
      <c r="L698" s="23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</row>
    <row r="699">
      <c r="A699" s="17"/>
      <c r="B699" s="17"/>
      <c r="C699" s="17"/>
      <c r="D699" s="23"/>
      <c r="E699" s="38"/>
      <c r="F699" s="35"/>
      <c r="G699" s="22"/>
      <c r="H699" s="23"/>
      <c r="I699" s="17"/>
      <c r="J699" s="23"/>
      <c r="K699" s="23"/>
      <c r="L699" s="23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</row>
    <row r="700">
      <c r="A700" s="17"/>
      <c r="B700" s="17"/>
      <c r="C700" s="17"/>
      <c r="D700" s="23"/>
      <c r="E700" s="38"/>
      <c r="F700" s="35"/>
      <c r="G700" s="22"/>
      <c r="H700" s="23"/>
      <c r="I700" s="17"/>
      <c r="J700" s="23"/>
      <c r="K700" s="23"/>
      <c r="L700" s="23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</row>
    <row r="701">
      <c r="A701" s="17"/>
      <c r="B701" s="17"/>
      <c r="C701" s="17"/>
      <c r="D701" s="23"/>
      <c r="E701" s="38"/>
      <c r="F701" s="35"/>
      <c r="G701" s="22"/>
      <c r="H701" s="23"/>
      <c r="I701" s="17"/>
      <c r="J701" s="23"/>
      <c r="K701" s="23"/>
      <c r="L701" s="23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</row>
    <row r="702">
      <c r="A702" s="17"/>
      <c r="B702" s="17"/>
      <c r="C702" s="17"/>
      <c r="D702" s="23"/>
      <c r="E702" s="38"/>
      <c r="F702" s="35"/>
      <c r="G702" s="22"/>
      <c r="H702" s="23"/>
      <c r="I702" s="17"/>
      <c r="J702" s="23"/>
      <c r="K702" s="23"/>
      <c r="L702" s="23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</row>
    <row r="703">
      <c r="A703" s="17"/>
      <c r="B703" s="17"/>
      <c r="C703" s="17"/>
      <c r="D703" s="23"/>
      <c r="E703" s="38"/>
      <c r="F703" s="35"/>
      <c r="G703" s="22"/>
      <c r="H703" s="23"/>
      <c r="I703" s="17"/>
      <c r="J703" s="23"/>
      <c r="K703" s="23"/>
      <c r="L703" s="23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</row>
    <row r="704">
      <c r="A704" s="17"/>
      <c r="B704" s="17"/>
      <c r="C704" s="17"/>
      <c r="D704" s="23"/>
      <c r="E704" s="38"/>
      <c r="F704" s="35"/>
      <c r="G704" s="22"/>
      <c r="H704" s="23"/>
      <c r="I704" s="17"/>
      <c r="J704" s="23"/>
      <c r="K704" s="23"/>
      <c r="L704" s="23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</row>
    <row r="705">
      <c r="A705" s="17"/>
      <c r="B705" s="17"/>
      <c r="C705" s="17"/>
      <c r="D705" s="23"/>
      <c r="E705" s="38"/>
      <c r="F705" s="35"/>
      <c r="G705" s="22"/>
      <c r="H705" s="23"/>
      <c r="I705" s="17"/>
      <c r="J705" s="23"/>
      <c r="K705" s="23"/>
      <c r="L705" s="23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</row>
    <row r="706">
      <c r="A706" s="17"/>
      <c r="B706" s="17"/>
      <c r="C706" s="17"/>
      <c r="D706" s="23"/>
      <c r="E706" s="38"/>
      <c r="F706" s="35"/>
      <c r="G706" s="22"/>
      <c r="H706" s="23"/>
      <c r="I706" s="17"/>
      <c r="J706" s="23"/>
      <c r="K706" s="23"/>
      <c r="L706" s="23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</row>
    <row r="707">
      <c r="A707" s="17"/>
      <c r="B707" s="17"/>
      <c r="C707" s="17"/>
      <c r="D707" s="23"/>
      <c r="E707" s="38"/>
      <c r="F707" s="35"/>
      <c r="G707" s="22"/>
      <c r="H707" s="23"/>
      <c r="I707" s="17"/>
      <c r="J707" s="23"/>
      <c r="K707" s="23"/>
      <c r="L707" s="23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</row>
    <row r="708">
      <c r="A708" s="17"/>
      <c r="B708" s="17"/>
      <c r="C708" s="17"/>
      <c r="D708" s="23"/>
      <c r="E708" s="38"/>
      <c r="F708" s="35"/>
      <c r="G708" s="22"/>
      <c r="H708" s="23"/>
      <c r="I708" s="17"/>
      <c r="J708" s="23"/>
      <c r="K708" s="23"/>
      <c r="L708" s="23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</row>
    <row r="709">
      <c r="A709" s="17"/>
      <c r="B709" s="17"/>
      <c r="C709" s="17"/>
      <c r="D709" s="23"/>
      <c r="E709" s="38"/>
      <c r="F709" s="35"/>
      <c r="G709" s="22"/>
      <c r="H709" s="23"/>
      <c r="I709" s="17"/>
      <c r="J709" s="23"/>
      <c r="K709" s="23"/>
      <c r="L709" s="23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</row>
    <row r="710">
      <c r="A710" s="17"/>
      <c r="B710" s="17"/>
      <c r="C710" s="17"/>
      <c r="D710" s="23"/>
      <c r="E710" s="38"/>
      <c r="F710" s="35"/>
      <c r="G710" s="22"/>
      <c r="H710" s="23"/>
      <c r="I710" s="17"/>
      <c r="J710" s="23"/>
      <c r="K710" s="23"/>
      <c r="L710" s="23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</row>
    <row r="711">
      <c r="A711" s="17"/>
      <c r="B711" s="17"/>
      <c r="C711" s="17"/>
      <c r="D711" s="23"/>
      <c r="E711" s="38"/>
      <c r="F711" s="35"/>
      <c r="G711" s="22"/>
      <c r="H711" s="23"/>
      <c r="I711" s="17"/>
      <c r="J711" s="23"/>
      <c r="K711" s="23"/>
      <c r="L711" s="23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</row>
    <row r="712">
      <c r="A712" s="17"/>
      <c r="B712" s="17"/>
      <c r="C712" s="17"/>
      <c r="D712" s="23"/>
      <c r="E712" s="38"/>
      <c r="F712" s="35"/>
      <c r="G712" s="22"/>
      <c r="H712" s="23"/>
      <c r="I712" s="17"/>
      <c r="J712" s="23"/>
      <c r="K712" s="23"/>
      <c r="L712" s="23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</row>
    <row r="713">
      <c r="A713" s="17"/>
      <c r="B713" s="17"/>
      <c r="C713" s="17"/>
      <c r="D713" s="23"/>
      <c r="E713" s="38"/>
      <c r="F713" s="35"/>
      <c r="G713" s="22"/>
      <c r="H713" s="23"/>
      <c r="I713" s="17"/>
      <c r="J713" s="23"/>
      <c r="K713" s="23"/>
      <c r="L713" s="23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</row>
    <row r="714">
      <c r="A714" s="17"/>
      <c r="B714" s="17"/>
      <c r="C714" s="17"/>
      <c r="D714" s="23"/>
      <c r="E714" s="38"/>
      <c r="F714" s="35"/>
      <c r="G714" s="22"/>
      <c r="H714" s="23"/>
      <c r="I714" s="17"/>
      <c r="J714" s="23"/>
      <c r="K714" s="23"/>
      <c r="L714" s="23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</row>
    <row r="715">
      <c r="A715" s="17"/>
      <c r="B715" s="17"/>
      <c r="C715" s="17"/>
      <c r="D715" s="23"/>
      <c r="E715" s="38"/>
      <c r="F715" s="35"/>
      <c r="G715" s="22"/>
      <c r="H715" s="23"/>
      <c r="I715" s="17"/>
      <c r="J715" s="23"/>
      <c r="K715" s="23"/>
      <c r="L715" s="23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</row>
    <row r="716">
      <c r="A716" s="17"/>
      <c r="B716" s="17"/>
      <c r="C716" s="17"/>
      <c r="D716" s="23"/>
      <c r="E716" s="38"/>
      <c r="F716" s="35"/>
      <c r="G716" s="22"/>
      <c r="H716" s="23"/>
      <c r="I716" s="17"/>
      <c r="J716" s="23"/>
      <c r="K716" s="23"/>
      <c r="L716" s="23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</row>
    <row r="717">
      <c r="A717" s="17"/>
      <c r="B717" s="17"/>
      <c r="C717" s="17"/>
      <c r="D717" s="23"/>
      <c r="E717" s="38"/>
      <c r="F717" s="35"/>
      <c r="G717" s="22"/>
      <c r="H717" s="23"/>
      <c r="I717" s="17"/>
      <c r="J717" s="23"/>
      <c r="K717" s="23"/>
      <c r="L717" s="23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</row>
    <row r="718">
      <c r="A718" s="17"/>
      <c r="B718" s="17"/>
      <c r="C718" s="17"/>
      <c r="D718" s="23"/>
      <c r="E718" s="38"/>
      <c r="F718" s="35"/>
      <c r="G718" s="22"/>
      <c r="H718" s="23"/>
      <c r="I718" s="17"/>
      <c r="J718" s="23"/>
      <c r="K718" s="23"/>
      <c r="L718" s="23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</row>
    <row r="719">
      <c r="A719" s="17"/>
      <c r="B719" s="17"/>
      <c r="C719" s="17"/>
      <c r="D719" s="23"/>
      <c r="E719" s="38"/>
      <c r="F719" s="35"/>
      <c r="G719" s="22"/>
      <c r="H719" s="23"/>
      <c r="I719" s="17"/>
      <c r="J719" s="23"/>
      <c r="K719" s="23"/>
      <c r="L719" s="23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</row>
    <row r="720">
      <c r="A720" s="17"/>
      <c r="B720" s="17"/>
      <c r="C720" s="17"/>
      <c r="D720" s="23"/>
      <c r="E720" s="38"/>
      <c r="F720" s="35"/>
      <c r="G720" s="22"/>
      <c r="H720" s="23"/>
      <c r="I720" s="17"/>
      <c r="J720" s="23"/>
      <c r="K720" s="23"/>
      <c r="L720" s="23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</row>
    <row r="721">
      <c r="A721" s="17"/>
      <c r="B721" s="17"/>
      <c r="C721" s="17"/>
      <c r="D721" s="23"/>
      <c r="E721" s="38"/>
      <c r="F721" s="35"/>
      <c r="G721" s="22"/>
      <c r="H721" s="23"/>
      <c r="I721" s="17"/>
      <c r="J721" s="23"/>
      <c r="K721" s="23"/>
      <c r="L721" s="23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</row>
    <row r="722">
      <c r="A722" s="17"/>
      <c r="B722" s="17"/>
      <c r="C722" s="17"/>
      <c r="D722" s="23"/>
      <c r="E722" s="38"/>
      <c r="F722" s="35"/>
      <c r="G722" s="22"/>
      <c r="H722" s="23"/>
      <c r="I722" s="17"/>
      <c r="J722" s="23"/>
      <c r="K722" s="23"/>
      <c r="L722" s="23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</row>
    <row r="723">
      <c r="A723" s="17"/>
      <c r="B723" s="17"/>
      <c r="C723" s="17"/>
      <c r="D723" s="23"/>
      <c r="E723" s="38"/>
      <c r="F723" s="35"/>
      <c r="G723" s="22"/>
      <c r="H723" s="23"/>
      <c r="I723" s="17"/>
      <c r="J723" s="23"/>
      <c r="K723" s="23"/>
      <c r="L723" s="23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</row>
    <row r="724">
      <c r="A724" s="17"/>
      <c r="B724" s="17"/>
      <c r="C724" s="17"/>
      <c r="D724" s="23"/>
      <c r="E724" s="38"/>
      <c r="F724" s="35"/>
      <c r="G724" s="22"/>
      <c r="H724" s="23"/>
      <c r="I724" s="17"/>
      <c r="J724" s="23"/>
      <c r="K724" s="23"/>
      <c r="L724" s="23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</row>
    <row r="725">
      <c r="A725" s="17"/>
      <c r="B725" s="17"/>
      <c r="C725" s="17"/>
      <c r="D725" s="23"/>
      <c r="E725" s="38"/>
      <c r="F725" s="35"/>
      <c r="G725" s="22"/>
      <c r="H725" s="23"/>
      <c r="I725" s="17"/>
      <c r="J725" s="23"/>
      <c r="K725" s="23"/>
      <c r="L725" s="23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</row>
    <row r="726">
      <c r="A726" s="17"/>
      <c r="B726" s="17"/>
      <c r="C726" s="17"/>
      <c r="D726" s="23"/>
      <c r="E726" s="38"/>
      <c r="F726" s="35"/>
      <c r="G726" s="22"/>
      <c r="H726" s="23"/>
      <c r="I726" s="17"/>
      <c r="J726" s="23"/>
      <c r="K726" s="23"/>
      <c r="L726" s="23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</row>
    <row r="727">
      <c r="A727" s="17"/>
      <c r="B727" s="17"/>
      <c r="C727" s="17"/>
      <c r="D727" s="23"/>
      <c r="E727" s="38"/>
      <c r="F727" s="35"/>
      <c r="G727" s="22"/>
      <c r="H727" s="23"/>
      <c r="I727" s="17"/>
      <c r="J727" s="23"/>
      <c r="K727" s="23"/>
      <c r="L727" s="23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</row>
    <row r="728">
      <c r="A728" s="17"/>
      <c r="B728" s="17"/>
      <c r="C728" s="17"/>
      <c r="D728" s="23"/>
      <c r="E728" s="38"/>
      <c r="F728" s="35"/>
      <c r="G728" s="22"/>
      <c r="H728" s="23"/>
      <c r="I728" s="17"/>
      <c r="J728" s="23"/>
      <c r="K728" s="23"/>
      <c r="L728" s="23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</row>
    <row r="729">
      <c r="A729" s="17"/>
      <c r="B729" s="17"/>
      <c r="C729" s="17"/>
      <c r="D729" s="23"/>
      <c r="E729" s="38"/>
      <c r="F729" s="35"/>
      <c r="G729" s="22"/>
      <c r="H729" s="23"/>
      <c r="I729" s="17"/>
      <c r="J729" s="23"/>
      <c r="K729" s="23"/>
      <c r="L729" s="23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</row>
    <row r="730">
      <c r="A730" s="17"/>
      <c r="B730" s="17"/>
      <c r="C730" s="17"/>
      <c r="D730" s="23"/>
      <c r="E730" s="38"/>
      <c r="F730" s="35"/>
      <c r="G730" s="22"/>
      <c r="H730" s="23"/>
      <c r="I730" s="17"/>
      <c r="J730" s="23"/>
      <c r="K730" s="23"/>
      <c r="L730" s="23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</row>
    <row r="731">
      <c r="A731" s="17"/>
      <c r="B731" s="17"/>
      <c r="C731" s="17"/>
      <c r="D731" s="23"/>
      <c r="E731" s="38"/>
      <c r="F731" s="35"/>
      <c r="G731" s="22"/>
      <c r="H731" s="23"/>
      <c r="I731" s="17"/>
      <c r="J731" s="23"/>
      <c r="K731" s="23"/>
      <c r="L731" s="23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</row>
    <row r="732">
      <c r="A732" s="17"/>
      <c r="B732" s="17"/>
      <c r="C732" s="17"/>
      <c r="D732" s="23"/>
      <c r="E732" s="38"/>
      <c r="F732" s="35"/>
      <c r="G732" s="22"/>
      <c r="H732" s="23"/>
      <c r="I732" s="17"/>
      <c r="J732" s="23"/>
      <c r="K732" s="23"/>
      <c r="L732" s="23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</row>
    <row r="733">
      <c r="A733" s="17"/>
      <c r="B733" s="17"/>
      <c r="C733" s="17"/>
      <c r="D733" s="23"/>
      <c r="E733" s="38"/>
      <c r="F733" s="35"/>
      <c r="G733" s="22"/>
      <c r="H733" s="23"/>
      <c r="I733" s="17"/>
      <c r="J733" s="23"/>
      <c r="K733" s="23"/>
      <c r="L733" s="23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</row>
    <row r="734">
      <c r="A734" s="17"/>
      <c r="B734" s="17"/>
      <c r="C734" s="17"/>
      <c r="D734" s="23"/>
      <c r="E734" s="38"/>
      <c r="F734" s="35"/>
      <c r="G734" s="22"/>
      <c r="H734" s="23"/>
      <c r="I734" s="17"/>
      <c r="J734" s="23"/>
      <c r="K734" s="23"/>
      <c r="L734" s="23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</row>
    <row r="735">
      <c r="A735" s="17"/>
      <c r="B735" s="17"/>
      <c r="C735" s="17"/>
      <c r="D735" s="23"/>
      <c r="E735" s="38"/>
      <c r="F735" s="35"/>
      <c r="G735" s="22"/>
      <c r="H735" s="23"/>
      <c r="I735" s="17"/>
      <c r="J735" s="23"/>
      <c r="K735" s="23"/>
      <c r="L735" s="23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</row>
    <row r="736">
      <c r="A736" s="17"/>
      <c r="B736" s="17"/>
      <c r="C736" s="17"/>
      <c r="D736" s="23"/>
      <c r="E736" s="38"/>
      <c r="F736" s="35"/>
      <c r="G736" s="22"/>
      <c r="H736" s="23"/>
      <c r="I736" s="17"/>
      <c r="J736" s="23"/>
      <c r="K736" s="23"/>
      <c r="L736" s="23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</row>
    <row r="737">
      <c r="A737" s="17"/>
      <c r="B737" s="17"/>
      <c r="C737" s="17"/>
      <c r="D737" s="23"/>
      <c r="E737" s="38"/>
      <c r="F737" s="35"/>
      <c r="G737" s="22"/>
      <c r="H737" s="23"/>
      <c r="I737" s="17"/>
      <c r="J737" s="23"/>
      <c r="K737" s="23"/>
      <c r="L737" s="23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</row>
    <row r="738">
      <c r="A738" s="17"/>
      <c r="B738" s="17"/>
      <c r="C738" s="17"/>
      <c r="D738" s="23"/>
      <c r="E738" s="38"/>
      <c r="F738" s="35"/>
      <c r="G738" s="22"/>
      <c r="H738" s="23"/>
      <c r="I738" s="17"/>
      <c r="J738" s="23"/>
      <c r="K738" s="23"/>
      <c r="L738" s="23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</row>
    <row r="739">
      <c r="A739" s="17"/>
      <c r="B739" s="17"/>
      <c r="C739" s="17"/>
      <c r="D739" s="23"/>
      <c r="E739" s="38"/>
      <c r="F739" s="35"/>
      <c r="G739" s="22"/>
      <c r="H739" s="23"/>
      <c r="I739" s="17"/>
      <c r="J739" s="23"/>
      <c r="K739" s="23"/>
      <c r="L739" s="23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</row>
    <row r="740">
      <c r="A740" s="17"/>
      <c r="B740" s="17"/>
      <c r="C740" s="17"/>
      <c r="D740" s="23"/>
      <c r="E740" s="38"/>
      <c r="F740" s="35"/>
      <c r="G740" s="22"/>
      <c r="H740" s="23"/>
      <c r="I740" s="17"/>
      <c r="J740" s="23"/>
      <c r="K740" s="23"/>
      <c r="L740" s="23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</row>
    <row r="741">
      <c r="A741" s="17"/>
      <c r="B741" s="17"/>
      <c r="C741" s="17"/>
      <c r="D741" s="23"/>
      <c r="E741" s="38"/>
      <c r="F741" s="35"/>
      <c r="G741" s="22"/>
      <c r="H741" s="23"/>
      <c r="I741" s="17"/>
      <c r="J741" s="23"/>
      <c r="K741" s="23"/>
      <c r="L741" s="23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</row>
    <row r="742">
      <c r="A742" s="17"/>
      <c r="B742" s="17"/>
      <c r="C742" s="17"/>
      <c r="D742" s="23"/>
      <c r="E742" s="38"/>
      <c r="F742" s="35"/>
      <c r="G742" s="22"/>
      <c r="H742" s="23"/>
      <c r="I742" s="17"/>
      <c r="J742" s="23"/>
      <c r="K742" s="23"/>
      <c r="L742" s="23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</row>
    <row r="743">
      <c r="A743" s="17"/>
      <c r="B743" s="17"/>
      <c r="C743" s="17"/>
      <c r="D743" s="23"/>
      <c r="E743" s="38"/>
      <c r="F743" s="35"/>
      <c r="G743" s="22"/>
      <c r="H743" s="23"/>
      <c r="I743" s="17"/>
      <c r="J743" s="23"/>
      <c r="K743" s="23"/>
      <c r="L743" s="23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</row>
    <row r="744">
      <c r="A744" s="17"/>
      <c r="B744" s="17"/>
      <c r="C744" s="17"/>
      <c r="D744" s="23"/>
      <c r="E744" s="38"/>
      <c r="F744" s="35"/>
      <c r="G744" s="22"/>
      <c r="H744" s="23"/>
      <c r="I744" s="17"/>
      <c r="J744" s="23"/>
      <c r="K744" s="23"/>
      <c r="L744" s="23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</row>
    <row r="745">
      <c r="A745" s="17"/>
      <c r="B745" s="17"/>
      <c r="C745" s="17"/>
      <c r="D745" s="23"/>
      <c r="E745" s="38"/>
      <c r="F745" s="35"/>
      <c r="G745" s="22"/>
      <c r="H745" s="23"/>
      <c r="I745" s="17"/>
      <c r="J745" s="23"/>
      <c r="K745" s="23"/>
      <c r="L745" s="23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</row>
    <row r="746">
      <c r="A746" s="17"/>
      <c r="B746" s="17"/>
      <c r="C746" s="17"/>
      <c r="D746" s="23"/>
      <c r="E746" s="38"/>
      <c r="F746" s="35"/>
      <c r="G746" s="22"/>
      <c r="H746" s="23"/>
      <c r="I746" s="17"/>
      <c r="J746" s="23"/>
      <c r="K746" s="23"/>
      <c r="L746" s="23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</row>
    <row r="747">
      <c r="A747" s="17"/>
      <c r="B747" s="17"/>
      <c r="C747" s="17"/>
      <c r="D747" s="23"/>
      <c r="E747" s="38"/>
      <c r="F747" s="35"/>
      <c r="G747" s="22"/>
      <c r="H747" s="23"/>
      <c r="I747" s="17"/>
      <c r="J747" s="23"/>
      <c r="K747" s="23"/>
      <c r="L747" s="23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</row>
    <row r="748">
      <c r="A748" s="17"/>
      <c r="B748" s="17"/>
      <c r="C748" s="17"/>
      <c r="D748" s="23"/>
      <c r="E748" s="38"/>
      <c r="F748" s="35"/>
      <c r="G748" s="22"/>
      <c r="H748" s="23"/>
      <c r="I748" s="17"/>
      <c r="J748" s="23"/>
      <c r="K748" s="23"/>
      <c r="L748" s="23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</row>
    <row r="749">
      <c r="A749" s="17"/>
      <c r="B749" s="17"/>
      <c r="C749" s="17"/>
      <c r="D749" s="23"/>
      <c r="E749" s="38"/>
      <c r="F749" s="35"/>
      <c r="G749" s="22"/>
      <c r="H749" s="23"/>
      <c r="I749" s="17"/>
      <c r="J749" s="23"/>
      <c r="K749" s="23"/>
      <c r="L749" s="23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</row>
    <row r="750">
      <c r="A750" s="17"/>
      <c r="B750" s="17"/>
      <c r="C750" s="17"/>
      <c r="D750" s="23"/>
      <c r="E750" s="38"/>
      <c r="F750" s="35"/>
      <c r="G750" s="22"/>
      <c r="H750" s="23"/>
      <c r="I750" s="17"/>
      <c r="J750" s="23"/>
      <c r="K750" s="23"/>
      <c r="L750" s="23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</row>
    <row r="751">
      <c r="A751" s="17"/>
      <c r="B751" s="17"/>
      <c r="C751" s="17"/>
      <c r="D751" s="23"/>
      <c r="E751" s="38"/>
      <c r="F751" s="35"/>
      <c r="G751" s="22"/>
      <c r="H751" s="23"/>
      <c r="I751" s="17"/>
      <c r="J751" s="23"/>
      <c r="K751" s="23"/>
      <c r="L751" s="23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</row>
    <row r="752">
      <c r="A752" s="17"/>
      <c r="B752" s="17"/>
      <c r="C752" s="17"/>
      <c r="D752" s="23"/>
      <c r="E752" s="38"/>
      <c r="F752" s="35"/>
      <c r="G752" s="22"/>
      <c r="H752" s="23"/>
      <c r="I752" s="17"/>
      <c r="J752" s="23"/>
      <c r="K752" s="23"/>
      <c r="L752" s="23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</row>
    <row r="753">
      <c r="A753" s="17"/>
      <c r="B753" s="17"/>
      <c r="C753" s="17"/>
      <c r="D753" s="23"/>
      <c r="E753" s="38"/>
      <c r="F753" s="35"/>
      <c r="G753" s="22"/>
      <c r="H753" s="23"/>
      <c r="I753" s="17"/>
      <c r="J753" s="23"/>
      <c r="K753" s="23"/>
      <c r="L753" s="23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</row>
    <row r="754">
      <c r="A754" s="17"/>
      <c r="B754" s="17"/>
      <c r="C754" s="17"/>
      <c r="D754" s="23"/>
      <c r="E754" s="38"/>
      <c r="F754" s="35"/>
      <c r="G754" s="22"/>
      <c r="H754" s="23"/>
      <c r="I754" s="17"/>
      <c r="J754" s="23"/>
      <c r="K754" s="23"/>
      <c r="L754" s="23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</row>
    <row r="755">
      <c r="A755" s="17"/>
      <c r="B755" s="17"/>
      <c r="C755" s="17"/>
      <c r="D755" s="23"/>
      <c r="E755" s="38"/>
      <c r="F755" s="35"/>
      <c r="G755" s="22"/>
      <c r="H755" s="23"/>
      <c r="I755" s="17"/>
      <c r="J755" s="23"/>
      <c r="K755" s="23"/>
      <c r="L755" s="23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</row>
    <row r="756">
      <c r="A756" s="17"/>
      <c r="B756" s="17"/>
      <c r="C756" s="17"/>
      <c r="D756" s="23"/>
      <c r="E756" s="38"/>
      <c r="F756" s="35"/>
      <c r="G756" s="22"/>
      <c r="H756" s="23"/>
      <c r="I756" s="17"/>
      <c r="J756" s="23"/>
      <c r="K756" s="23"/>
      <c r="L756" s="23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</row>
    <row r="757">
      <c r="A757" s="17"/>
      <c r="B757" s="17"/>
      <c r="C757" s="17"/>
      <c r="D757" s="23"/>
      <c r="E757" s="38"/>
      <c r="F757" s="35"/>
      <c r="G757" s="22"/>
      <c r="H757" s="23"/>
      <c r="I757" s="17"/>
      <c r="J757" s="23"/>
      <c r="K757" s="23"/>
      <c r="L757" s="23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</row>
    <row r="758">
      <c r="A758" s="17"/>
      <c r="B758" s="17"/>
      <c r="C758" s="17"/>
      <c r="D758" s="23"/>
      <c r="E758" s="38"/>
      <c r="F758" s="35"/>
      <c r="G758" s="22"/>
      <c r="H758" s="23"/>
      <c r="I758" s="17"/>
      <c r="J758" s="23"/>
      <c r="K758" s="23"/>
      <c r="L758" s="23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</row>
    <row r="759">
      <c r="A759" s="17"/>
      <c r="B759" s="17"/>
      <c r="C759" s="17"/>
      <c r="D759" s="23"/>
      <c r="E759" s="38"/>
      <c r="F759" s="35"/>
      <c r="G759" s="22"/>
      <c r="H759" s="23"/>
      <c r="I759" s="17"/>
      <c r="J759" s="23"/>
      <c r="K759" s="23"/>
      <c r="L759" s="23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</row>
    <row r="760">
      <c r="A760" s="17"/>
      <c r="B760" s="17"/>
      <c r="C760" s="17"/>
      <c r="D760" s="23"/>
      <c r="E760" s="38"/>
      <c r="F760" s="35"/>
      <c r="G760" s="22"/>
      <c r="H760" s="23"/>
      <c r="I760" s="17"/>
      <c r="J760" s="23"/>
      <c r="K760" s="23"/>
      <c r="L760" s="23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</row>
    <row r="761">
      <c r="A761" s="17"/>
      <c r="B761" s="17"/>
      <c r="C761" s="17"/>
      <c r="D761" s="23"/>
      <c r="E761" s="38"/>
      <c r="F761" s="35"/>
      <c r="G761" s="22"/>
      <c r="H761" s="23"/>
      <c r="I761" s="17"/>
      <c r="J761" s="23"/>
      <c r="K761" s="23"/>
      <c r="L761" s="23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</row>
    <row r="762">
      <c r="A762" s="17"/>
      <c r="B762" s="17"/>
      <c r="C762" s="17"/>
      <c r="D762" s="23"/>
      <c r="E762" s="38"/>
      <c r="F762" s="35"/>
      <c r="G762" s="22"/>
      <c r="H762" s="23"/>
      <c r="I762" s="17"/>
      <c r="J762" s="23"/>
      <c r="K762" s="23"/>
      <c r="L762" s="23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</row>
    <row r="763">
      <c r="A763" s="17"/>
      <c r="B763" s="17"/>
      <c r="C763" s="17"/>
      <c r="D763" s="23"/>
      <c r="E763" s="38"/>
      <c r="F763" s="35"/>
      <c r="G763" s="22"/>
      <c r="H763" s="23"/>
      <c r="I763" s="17"/>
      <c r="J763" s="23"/>
      <c r="K763" s="23"/>
      <c r="L763" s="23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</row>
    <row r="764">
      <c r="A764" s="17"/>
      <c r="B764" s="17"/>
      <c r="C764" s="17"/>
      <c r="D764" s="23"/>
      <c r="E764" s="38"/>
      <c r="F764" s="35"/>
      <c r="G764" s="22"/>
      <c r="H764" s="23"/>
      <c r="I764" s="17"/>
      <c r="J764" s="23"/>
      <c r="K764" s="23"/>
      <c r="L764" s="23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</row>
    <row r="765">
      <c r="A765" s="17"/>
      <c r="B765" s="17"/>
      <c r="C765" s="17"/>
      <c r="D765" s="23"/>
      <c r="E765" s="38"/>
      <c r="F765" s="35"/>
      <c r="G765" s="22"/>
      <c r="H765" s="23"/>
      <c r="I765" s="17"/>
      <c r="J765" s="23"/>
      <c r="K765" s="23"/>
      <c r="L765" s="23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</row>
    <row r="766">
      <c r="A766" s="17"/>
      <c r="B766" s="17"/>
      <c r="C766" s="17"/>
      <c r="D766" s="23"/>
      <c r="E766" s="38"/>
      <c r="F766" s="35"/>
      <c r="G766" s="22"/>
      <c r="H766" s="23"/>
      <c r="I766" s="17"/>
      <c r="J766" s="23"/>
      <c r="K766" s="23"/>
      <c r="L766" s="23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</row>
    <row r="767">
      <c r="A767" s="17"/>
      <c r="B767" s="17"/>
      <c r="C767" s="17"/>
      <c r="D767" s="23"/>
      <c r="E767" s="38"/>
      <c r="F767" s="35"/>
      <c r="G767" s="22"/>
      <c r="H767" s="23"/>
      <c r="I767" s="17"/>
      <c r="J767" s="23"/>
      <c r="K767" s="23"/>
      <c r="L767" s="23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</row>
    <row r="768">
      <c r="A768" s="17"/>
      <c r="B768" s="17"/>
      <c r="C768" s="17"/>
      <c r="D768" s="23"/>
      <c r="E768" s="38"/>
      <c r="F768" s="35"/>
      <c r="G768" s="22"/>
      <c r="H768" s="23"/>
      <c r="I768" s="17"/>
      <c r="J768" s="23"/>
      <c r="K768" s="23"/>
      <c r="L768" s="23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</row>
    <row r="769">
      <c r="A769" s="17"/>
      <c r="B769" s="17"/>
      <c r="C769" s="17"/>
      <c r="D769" s="23"/>
      <c r="E769" s="38"/>
      <c r="F769" s="35"/>
      <c r="G769" s="22"/>
      <c r="H769" s="23"/>
      <c r="I769" s="17"/>
      <c r="J769" s="23"/>
      <c r="K769" s="23"/>
      <c r="L769" s="23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</row>
    <row r="770">
      <c r="A770" s="17"/>
      <c r="B770" s="17"/>
      <c r="C770" s="17"/>
      <c r="D770" s="23"/>
      <c r="E770" s="38"/>
      <c r="F770" s="35"/>
      <c r="G770" s="22"/>
      <c r="H770" s="23"/>
      <c r="I770" s="17"/>
      <c r="J770" s="23"/>
      <c r="K770" s="23"/>
      <c r="L770" s="23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</row>
    <row r="771">
      <c r="A771" s="17"/>
      <c r="B771" s="17"/>
      <c r="C771" s="17"/>
      <c r="D771" s="23"/>
      <c r="E771" s="38"/>
      <c r="F771" s="35"/>
      <c r="G771" s="22"/>
      <c r="H771" s="23"/>
      <c r="I771" s="17"/>
      <c r="J771" s="23"/>
      <c r="K771" s="23"/>
      <c r="L771" s="23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</row>
    <row r="772">
      <c r="A772" s="17"/>
      <c r="B772" s="17"/>
      <c r="C772" s="17"/>
      <c r="D772" s="23"/>
      <c r="E772" s="38"/>
      <c r="F772" s="35"/>
      <c r="G772" s="22"/>
      <c r="H772" s="23"/>
      <c r="I772" s="17"/>
      <c r="J772" s="23"/>
      <c r="K772" s="23"/>
      <c r="L772" s="23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</row>
    <row r="773">
      <c r="A773" s="17"/>
      <c r="B773" s="17"/>
      <c r="C773" s="17"/>
      <c r="D773" s="23"/>
      <c r="E773" s="38"/>
      <c r="F773" s="35"/>
      <c r="G773" s="22"/>
      <c r="H773" s="23"/>
      <c r="I773" s="17"/>
      <c r="J773" s="23"/>
      <c r="K773" s="23"/>
      <c r="L773" s="23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</row>
    <row r="774">
      <c r="A774" s="17"/>
      <c r="B774" s="17"/>
      <c r="C774" s="17"/>
      <c r="D774" s="23"/>
      <c r="E774" s="38"/>
      <c r="F774" s="35"/>
      <c r="G774" s="22"/>
      <c r="H774" s="23"/>
      <c r="I774" s="17"/>
      <c r="J774" s="23"/>
      <c r="K774" s="23"/>
      <c r="L774" s="23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</row>
    <row r="775">
      <c r="A775" s="17"/>
      <c r="B775" s="17"/>
      <c r="C775" s="17"/>
      <c r="D775" s="23"/>
      <c r="E775" s="38"/>
      <c r="F775" s="35"/>
      <c r="G775" s="22"/>
      <c r="H775" s="23"/>
      <c r="I775" s="17"/>
      <c r="J775" s="23"/>
      <c r="K775" s="23"/>
      <c r="L775" s="23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</row>
    <row r="776">
      <c r="A776" s="17"/>
      <c r="B776" s="17"/>
      <c r="C776" s="17"/>
      <c r="D776" s="23"/>
      <c r="E776" s="38"/>
      <c r="F776" s="35"/>
      <c r="G776" s="22"/>
      <c r="H776" s="23"/>
      <c r="I776" s="17"/>
      <c r="J776" s="23"/>
      <c r="K776" s="23"/>
      <c r="L776" s="23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</row>
    <row r="777">
      <c r="A777" s="17"/>
      <c r="B777" s="17"/>
      <c r="C777" s="17"/>
      <c r="D777" s="23"/>
      <c r="E777" s="38"/>
      <c r="F777" s="35"/>
      <c r="G777" s="22"/>
      <c r="H777" s="23"/>
      <c r="I777" s="17"/>
      <c r="J777" s="23"/>
      <c r="K777" s="23"/>
      <c r="L777" s="23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</row>
    <row r="778">
      <c r="A778" s="17"/>
      <c r="B778" s="17"/>
      <c r="C778" s="17"/>
      <c r="D778" s="23"/>
      <c r="E778" s="38"/>
      <c r="F778" s="35"/>
      <c r="G778" s="22"/>
      <c r="H778" s="23"/>
      <c r="I778" s="17"/>
      <c r="J778" s="23"/>
      <c r="K778" s="23"/>
      <c r="L778" s="23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</row>
    <row r="779">
      <c r="A779" s="17"/>
      <c r="B779" s="17"/>
      <c r="C779" s="17"/>
      <c r="D779" s="23"/>
      <c r="E779" s="38"/>
      <c r="F779" s="35"/>
      <c r="G779" s="22"/>
      <c r="H779" s="23"/>
      <c r="I779" s="17"/>
      <c r="J779" s="23"/>
      <c r="K779" s="23"/>
      <c r="L779" s="23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</row>
    <row r="780">
      <c r="A780" s="17"/>
      <c r="B780" s="17"/>
      <c r="C780" s="17"/>
      <c r="D780" s="23"/>
      <c r="E780" s="38"/>
      <c r="F780" s="35"/>
      <c r="G780" s="22"/>
      <c r="H780" s="23"/>
      <c r="I780" s="17"/>
      <c r="J780" s="23"/>
      <c r="K780" s="23"/>
      <c r="L780" s="23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</row>
    <row r="781">
      <c r="A781" s="17"/>
      <c r="B781" s="17"/>
      <c r="C781" s="17"/>
      <c r="D781" s="23"/>
      <c r="E781" s="38"/>
      <c r="F781" s="35"/>
      <c r="G781" s="22"/>
      <c r="H781" s="23"/>
      <c r="I781" s="17"/>
      <c r="J781" s="23"/>
      <c r="K781" s="23"/>
      <c r="L781" s="23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</row>
    <row r="782">
      <c r="A782" s="17"/>
      <c r="B782" s="17"/>
      <c r="C782" s="17"/>
      <c r="D782" s="23"/>
      <c r="E782" s="38"/>
      <c r="F782" s="35"/>
      <c r="G782" s="22"/>
      <c r="H782" s="23"/>
      <c r="I782" s="17"/>
      <c r="J782" s="23"/>
      <c r="K782" s="23"/>
      <c r="L782" s="23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</row>
    <row r="783">
      <c r="A783" s="17"/>
      <c r="B783" s="17"/>
      <c r="C783" s="17"/>
      <c r="D783" s="23"/>
      <c r="E783" s="38"/>
      <c r="F783" s="35"/>
      <c r="G783" s="22"/>
      <c r="H783" s="23"/>
      <c r="I783" s="17"/>
      <c r="J783" s="23"/>
      <c r="K783" s="23"/>
      <c r="L783" s="23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</row>
    <row r="784">
      <c r="A784" s="17"/>
      <c r="B784" s="17"/>
      <c r="C784" s="17"/>
      <c r="D784" s="23"/>
      <c r="E784" s="38"/>
      <c r="F784" s="35"/>
      <c r="G784" s="22"/>
      <c r="H784" s="23"/>
      <c r="I784" s="17"/>
      <c r="J784" s="23"/>
      <c r="K784" s="23"/>
      <c r="L784" s="23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</row>
    <row r="785">
      <c r="A785" s="17"/>
      <c r="B785" s="17"/>
      <c r="C785" s="17"/>
      <c r="D785" s="23"/>
      <c r="E785" s="38"/>
      <c r="F785" s="35"/>
      <c r="G785" s="22"/>
      <c r="H785" s="23"/>
      <c r="I785" s="17"/>
      <c r="J785" s="23"/>
      <c r="K785" s="23"/>
      <c r="L785" s="23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</row>
    <row r="786">
      <c r="A786" s="17"/>
      <c r="B786" s="17"/>
      <c r="C786" s="17"/>
      <c r="D786" s="23"/>
      <c r="E786" s="38"/>
      <c r="F786" s="35"/>
      <c r="G786" s="22"/>
      <c r="H786" s="23"/>
      <c r="I786" s="17"/>
      <c r="J786" s="23"/>
      <c r="K786" s="23"/>
      <c r="L786" s="23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</row>
    <row r="787">
      <c r="A787" s="17"/>
      <c r="B787" s="17"/>
      <c r="C787" s="17"/>
      <c r="D787" s="23"/>
      <c r="E787" s="38"/>
      <c r="F787" s="35"/>
      <c r="G787" s="22"/>
      <c r="H787" s="23"/>
      <c r="I787" s="17"/>
      <c r="J787" s="23"/>
      <c r="K787" s="23"/>
      <c r="L787" s="23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</row>
    <row r="788">
      <c r="A788" s="17"/>
      <c r="B788" s="17"/>
      <c r="C788" s="17"/>
      <c r="D788" s="23"/>
      <c r="E788" s="38"/>
      <c r="F788" s="35"/>
      <c r="G788" s="22"/>
      <c r="H788" s="23"/>
      <c r="I788" s="17"/>
      <c r="J788" s="23"/>
      <c r="K788" s="23"/>
      <c r="L788" s="23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</row>
    <row r="789">
      <c r="A789" s="17"/>
      <c r="B789" s="17"/>
      <c r="C789" s="17"/>
      <c r="D789" s="23"/>
      <c r="E789" s="38"/>
      <c r="F789" s="35"/>
      <c r="G789" s="22"/>
      <c r="H789" s="23"/>
      <c r="I789" s="17"/>
      <c r="J789" s="23"/>
      <c r="K789" s="23"/>
      <c r="L789" s="23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</row>
    <row r="790">
      <c r="A790" s="17"/>
      <c r="B790" s="17"/>
      <c r="C790" s="17"/>
      <c r="D790" s="23"/>
      <c r="E790" s="38"/>
      <c r="F790" s="35"/>
      <c r="G790" s="22"/>
      <c r="H790" s="23"/>
      <c r="I790" s="17"/>
      <c r="J790" s="23"/>
      <c r="K790" s="23"/>
      <c r="L790" s="23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</row>
    <row r="791">
      <c r="A791" s="17"/>
      <c r="B791" s="17"/>
      <c r="C791" s="17"/>
      <c r="D791" s="23"/>
      <c r="E791" s="38"/>
      <c r="F791" s="35"/>
      <c r="G791" s="22"/>
      <c r="H791" s="23"/>
      <c r="I791" s="17"/>
      <c r="J791" s="23"/>
      <c r="K791" s="23"/>
      <c r="L791" s="23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</row>
    <row r="792">
      <c r="A792" s="17"/>
      <c r="B792" s="17"/>
      <c r="C792" s="17"/>
      <c r="D792" s="23"/>
      <c r="E792" s="38"/>
      <c r="F792" s="35"/>
      <c r="G792" s="22"/>
      <c r="H792" s="23"/>
      <c r="I792" s="17"/>
      <c r="J792" s="23"/>
      <c r="K792" s="23"/>
      <c r="L792" s="23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</row>
    <row r="793">
      <c r="A793" s="17"/>
      <c r="B793" s="17"/>
      <c r="C793" s="17"/>
      <c r="D793" s="23"/>
      <c r="E793" s="38"/>
      <c r="F793" s="35"/>
      <c r="G793" s="22"/>
      <c r="H793" s="23"/>
      <c r="I793" s="17"/>
      <c r="J793" s="23"/>
      <c r="K793" s="23"/>
      <c r="L793" s="23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</row>
    <row r="794">
      <c r="A794" s="17"/>
      <c r="B794" s="17"/>
      <c r="C794" s="17"/>
      <c r="D794" s="23"/>
      <c r="E794" s="38"/>
      <c r="F794" s="35"/>
      <c r="G794" s="22"/>
      <c r="H794" s="23"/>
      <c r="I794" s="17"/>
      <c r="J794" s="23"/>
      <c r="K794" s="23"/>
      <c r="L794" s="23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</row>
    <row r="795">
      <c r="A795" s="17"/>
      <c r="B795" s="17"/>
      <c r="C795" s="17"/>
      <c r="D795" s="23"/>
      <c r="E795" s="38"/>
      <c r="F795" s="35"/>
      <c r="G795" s="22"/>
      <c r="H795" s="23"/>
      <c r="I795" s="17"/>
      <c r="J795" s="23"/>
      <c r="K795" s="23"/>
      <c r="L795" s="23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</row>
    <row r="796">
      <c r="A796" s="17"/>
      <c r="B796" s="17"/>
      <c r="C796" s="17"/>
      <c r="D796" s="23"/>
      <c r="E796" s="38"/>
      <c r="F796" s="35"/>
      <c r="G796" s="22"/>
      <c r="H796" s="23"/>
      <c r="I796" s="17"/>
      <c r="J796" s="23"/>
      <c r="K796" s="23"/>
      <c r="L796" s="23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</row>
    <row r="797">
      <c r="A797" s="17"/>
      <c r="B797" s="17"/>
      <c r="C797" s="17"/>
      <c r="D797" s="23"/>
      <c r="E797" s="38"/>
      <c r="F797" s="35"/>
      <c r="G797" s="22"/>
      <c r="H797" s="23"/>
      <c r="I797" s="17"/>
      <c r="J797" s="23"/>
      <c r="K797" s="23"/>
      <c r="L797" s="23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</row>
    <row r="798">
      <c r="A798" s="17"/>
      <c r="B798" s="17"/>
      <c r="C798" s="17"/>
      <c r="D798" s="23"/>
      <c r="E798" s="38"/>
      <c r="F798" s="35"/>
      <c r="G798" s="22"/>
      <c r="H798" s="23"/>
      <c r="I798" s="17"/>
      <c r="J798" s="23"/>
      <c r="K798" s="23"/>
      <c r="L798" s="23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</row>
    <row r="799">
      <c r="A799" s="17"/>
      <c r="B799" s="17"/>
      <c r="C799" s="17"/>
      <c r="D799" s="23"/>
      <c r="E799" s="38"/>
      <c r="F799" s="35"/>
      <c r="G799" s="22"/>
      <c r="H799" s="23"/>
      <c r="I799" s="17"/>
      <c r="J799" s="23"/>
      <c r="K799" s="23"/>
      <c r="L799" s="23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</row>
    <row r="800">
      <c r="A800" s="17"/>
      <c r="B800" s="17"/>
      <c r="C800" s="17"/>
      <c r="D800" s="23"/>
      <c r="E800" s="38"/>
      <c r="F800" s="35"/>
      <c r="G800" s="22"/>
      <c r="H800" s="23"/>
      <c r="I800" s="17"/>
      <c r="J800" s="23"/>
      <c r="K800" s="23"/>
      <c r="L800" s="23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</row>
    <row r="801">
      <c r="A801" s="17"/>
      <c r="B801" s="17"/>
      <c r="C801" s="17"/>
      <c r="D801" s="23"/>
      <c r="E801" s="38"/>
      <c r="F801" s="35"/>
      <c r="G801" s="22"/>
      <c r="H801" s="23"/>
      <c r="I801" s="17"/>
      <c r="J801" s="23"/>
      <c r="K801" s="23"/>
      <c r="L801" s="23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</row>
    <row r="802">
      <c r="A802" s="17"/>
      <c r="B802" s="17"/>
      <c r="C802" s="17"/>
      <c r="D802" s="23"/>
      <c r="E802" s="38"/>
      <c r="F802" s="35"/>
      <c r="G802" s="22"/>
      <c r="H802" s="23"/>
      <c r="I802" s="17"/>
      <c r="J802" s="23"/>
      <c r="K802" s="23"/>
      <c r="L802" s="23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</row>
    <row r="803">
      <c r="A803" s="17"/>
      <c r="B803" s="17"/>
      <c r="C803" s="17"/>
      <c r="D803" s="23"/>
      <c r="E803" s="38"/>
      <c r="F803" s="35"/>
      <c r="G803" s="22"/>
      <c r="H803" s="23"/>
      <c r="I803" s="17"/>
      <c r="J803" s="23"/>
      <c r="K803" s="23"/>
      <c r="L803" s="23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</row>
    <row r="804">
      <c r="A804" s="17"/>
      <c r="B804" s="17"/>
      <c r="C804" s="17"/>
      <c r="D804" s="23"/>
      <c r="E804" s="38"/>
      <c r="F804" s="35"/>
      <c r="G804" s="22"/>
      <c r="H804" s="23"/>
      <c r="I804" s="17"/>
      <c r="J804" s="23"/>
      <c r="K804" s="23"/>
      <c r="L804" s="23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</row>
    <row r="805">
      <c r="A805" s="17"/>
      <c r="B805" s="17"/>
      <c r="C805" s="17"/>
      <c r="D805" s="23"/>
      <c r="E805" s="38"/>
      <c r="F805" s="35"/>
      <c r="G805" s="22"/>
      <c r="H805" s="23"/>
      <c r="I805" s="17"/>
      <c r="J805" s="23"/>
      <c r="K805" s="23"/>
      <c r="L805" s="23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</row>
    <row r="806">
      <c r="A806" s="17"/>
      <c r="B806" s="17"/>
      <c r="C806" s="17"/>
      <c r="D806" s="23"/>
      <c r="E806" s="38"/>
      <c r="F806" s="35"/>
      <c r="G806" s="22"/>
      <c r="H806" s="23"/>
      <c r="I806" s="17"/>
      <c r="J806" s="23"/>
      <c r="K806" s="23"/>
      <c r="L806" s="23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</row>
    <row r="807">
      <c r="A807" s="17"/>
      <c r="B807" s="17"/>
      <c r="C807" s="17"/>
      <c r="D807" s="23"/>
      <c r="E807" s="38"/>
      <c r="F807" s="35"/>
      <c r="G807" s="22"/>
      <c r="H807" s="23"/>
      <c r="I807" s="17"/>
      <c r="J807" s="23"/>
      <c r="K807" s="23"/>
      <c r="L807" s="23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</row>
    <row r="808">
      <c r="A808" s="17"/>
      <c r="B808" s="17"/>
      <c r="C808" s="17"/>
      <c r="D808" s="23"/>
      <c r="E808" s="38"/>
      <c r="F808" s="35"/>
      <c r="G808" s="22"/>
      <c r="H808" s="23"/>
      <c r="I808" s="17"/>
      <c r="J808" s="23"/>
      <c r="K808" s="23"/>
      <c r="L808" s="23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</row>
    <row r="809">
      <c r="A809" s="17"/>
      <c r="B809" s="17"/>
      <c r="C809" s="17"/>
      <c r="D809" s="23"/>
      <c r="E809" s="38"/>
      <c r="F809" s="35"/>
      <c r="G809" s="22"/>
      <c r="H809" s="23"/>
      <c r="I809" s="17"/>
      <c r="J809" s="23"/>
      <c r="K809" s="23"/>
      <c r="L809" s="23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</row>
    <row r="810">
      <c r="A810" s="17"/>
      <c r="B810" s="17"/>
      <c r="C810" s="17"/>
      <c r="D810" s="23"/>
      <c r="E810" s="38"/>
      <c r="F810" s="35"/>
      <c r="G810" s="22"/>
      <c r="H810" s="23"/>
      <c r="I810" s="17"/>
      <c r="J810" s="23"/>
      <c r="K810" s="23"/>
      <c r="L810" s="23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</row>
    <row r="811">
      <c r="A811" s="17"/>
      <c r="B811" s="17"/>
      <c r="C811" s="17"/>
      <c r="D811" s="23"/>
      <c r="E811" s="38"/>
      <c r="F811" s="35"/>
      <c r="G811" s="22"/>
      <c r="H811" s="23"/>
      <c r="I811" s="17"/>
      <c r="J811" s="23"/>
      <c r="K811" s="23"/>
      <c r="L811" s="23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</row>
    <row r="812">
      <c r="A812" s="17"/>
      <c r="B812" s="17"/>
      <c r="C812" s="17"/>
      <c r="D812" s="23"/>
      <c r="E812" s="38"/>
      <c r="F812" s="35"/>
      <c r="G812" s="22"/>
      <c r="H812" s="23"/>
      <c r="I812" s="17"/>
      <c r="J812" s="23"/>
      <c r="K812" s="23"/>
      <c r="L812" s="23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</row>
    <row r="813">
      <c r="A813" s="17"/>
      <c r="B813" s="17"/>
      <c r="C813" s="17"/>
      <c r="D813" s="23"/>
      <c r="E813" s="38"/>
      <c r="F813" s="35"/>
      <c r="G813" s="22"/>
      <c r="H813" s="23"/>
      <c r="I813" s="17"/>
      <c r="J813" s="23"/>
      <c r="K813" s="23"/>
      <c r="L813" s="23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</row>
    <row r="814">
      <c r="A814" s="17"/>
      <c r="B814" s="17"/>
      <c r="C814" s="17"/>
      <c r="D814" s="23"/>
      <c r="E814" s="38"/>
      <c r="F814" s="35"/>
      <c r="G814" s="22"/>
      <c r="H814" s="23"/>
      <c r="I814" s="17"/>
      <c r="J814" s="23"/>
      <c r="K814" s="23"/>
      <c r="L814" s="23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</row>
    <row r="815">
      <c r="A815" s="17"/>
      <c r="B815" s="17"/>
      <c r="C815" s="17"/>
      <c r="D815" s="23"/>
      <c r="E815" s="38"/>
      <c r="F815" s="35"/>
      <c r="G815" s="22"/>
      <c r="H815" s="23"/>
      <c r="I815" s="17"/>
      <c r="J815" s="23"/>
      <c r="K815" s="23"/>
      <c r="L815" s="23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</row>
    <row r="816">
      <c r="A816" s="17"/>
      <c r="B816" s="17"/>
      <c r="C816" s="17"/>
      <c r="D816" s="23"/>
      <c r="E816" s="38"/>
      <c r="F816" s="35"/>
      <c r="G816" s="22"/>
      <c r="H816" s="23"/>
      <c r="I816" s="17"/>
      <c r="J816" s="23"/>
      <c r="K816" s="23"/>
      <c r="L816" s="23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</row>
    <row r="817">
      <c r="A817" s="17"/>
      <c r="B817" s="17"/>
      <c r="C817" s="17"/>
      <c r="D817" s="23"/>
      <c r="E817" s="38"/>
      <c r="F817" s="35"/>
      <c r="G817" s="22"/>
      <c r="H817" s="23"/>
      <c r="I817" s="17"/>
      <c r="J817" s="23"/>
      <c r="K817" s="23"/>
      <c r="L817" s="23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</row>
    <row r="818">
      <c r="A818" s="17"/>
      <c r="B818" s="17"/>
      <c r="C818" s="17"/>
      <c r="D818" s="23"/>
      <c r="E818" s="38"/>
      <c r="F818" s="35"/>
      <c r="G818" s="22"/>
      <c r="H818" s="23"/>
      <c r="I818" s="17"/>
      <c r="J818" s="23"/>
      <c r="K818" s="23"/>
      <c r="L818" s="23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</row>
    <row r="819">
      <c r="A819" s="17"/>
      <c r="B819" s="17"/>
      <c r="C819" s="17"/>
      <c r="D819" s="23"/>
      <c r="E819" s="38"/>
      <c r="F819" s="35"/>
      <c r="G819" s="22"/>
      <c r="H819" s="23"/>
      <c r="I819" s="17"/>
      <c r="J819" s="23"/>
      <c r="K819" s="23"/>
      <c r="L819" s="23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</row>
    <row r="820">
      <c r="A820" s="17"/>
      <c r="B820" s="17"/>
      <c r="C820" s="17"/>
      <c r="D820" s="23"/>
      <c r="E820" s="38"/>
      <c r="F820" s="35"/>
      <c r="G820" s="22"/>
      <c r="H820" s="23"/>
      <c r="I820" s="17"/>
      <c r="J820" s="23"/>
      <c r="K820" s="23"/>
      <c r="L820" s="23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</row>
    <row r="821">
      <c r="A821" s="17"/>
      <c r="B821" s="17"/>
      <c r="C821" s="17"/>
      <c r="D821" s="23"/>
      <c r="E821" s="38"/>
      <c r="F821" s="35"/>
      <c r="G821" s="22"/>
      <c r="H821" s="23"/>
      <c r="I821" s="17"/>
      <c r="J821" s="23"/>
      <c r="K821" s="23"/>
      <c r="L821" s="23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</row>
    <row r="822">
      <c r="A822" s="17"/>
      <c r="B822" s="17"/>
      <c r="C822" s="17"/>
      <c r="D822" s="23"/>
      <c r="E822" s="38"/>
      <c r="F822" s="35"/>
      <c r="G822" s="22"/>
      <c r="H822" s="23"/>
      <c r="I822" s="17"/>
      <c r="J822" s="23"/>
      <c r="K822" s="23"/>
      <c r="L822" s="23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</row>
    <row r="823">
      <c r="A823" s="17"/>
      <c r="B823" s="17"/>
      <c r="C823" s="17"/>
      <c r="D823" s="23"/>
      <c r="E823" s="38"/>
      <c r="F823" s="35"/>
      <c r="G823" s="22"/>
      <c r="H823" s="23"/>
      <c r="I823" s="17"/>
      <c r="J823" s="23"/>
      <c r="K823" s="23"/>
      <c r="L823" s="23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</row>
    <row r="824">
      <c r="A824" s="17"/>
      <c r="B824" s="17"/>
      <c r="C824" s="17"/>
      <c r="D824" s="23"/>
      <c r="E824" s="38"/>
      <c r="F824" s="35"/>
      <c r="G824" s="22"/>
      <c r="H824" s="23"/>
      <c r="I824" s="17"/>
      <c r="J824" s="23"/>
      <c r="K824" s="23"/>
      <c r="L824" s="23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</row>
    <row r="825">
      <c r="A825" s="17"/>
      <c r="B825" s="17"/>
      <c r="C825" s="17"/>
      <c r="D825" s="23"/>
      <c r="E825" s="38"/>
      <c r="F825" s="35"/>
      <c r="G825" s="22"/>
      <c r="H825" s="23"/>
      <c r="I825" s="17"/>
      <c r="J825" s="23"/>
      <c r="K825" s="23"/>
      <c r="L825" s="23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</row>
    <row r="826">
      <c r="A826" s="17"/>
      <c r="B826" s="17"/>
      <c r="C826" s="17"/>
      <c r="D826" s="23"/>
      <c r="E826" s="38"/>
      <c r="F826" s="35"/>
      <c r="G826" s="22"/>
      <c r="H826" s="23"/>
      <c r="I826" s="17"/>
      <c r="J826" s="23"/>
      <c r="K826" s="23"/>
      <c r="L826" s="23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</row>
    <row r="827">
      <c r="A827" s="17"/>
      <c r="B827" s="17"/>
      <c r="C827" s="17"/>
      <c r="D827" s="23"/>
      <c r="E827" s="38"/>
      <c r="F827" s="35"/>
      <c r="G827" s="22"/>
      <c r="H827" s="23"/>
      <c r="I827" s="17"/>
      <c r="J827" s="23"/>
      <c r="K827" s="23"/>
      <c r="L827" s="23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</row>
    <row r="828">
      <c r="A828" s="17"/>
      <c r="B828" s="17"/>
      <c r="C828" s="17"/>
      <c r="D828" s="23"/>
      <c r="E828" s="38"/>
      <c r="F828" s="35"/>
      <c r="G828" s="22"/>
      <c r="H828" s="23"/>
      <c r="I828" s="17"/>
      <c r="J828" s="23"/>
      <c r="K828" s="23"/>
      <c r="L828" s="23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</row>
    <row r="829">
      <c r="A829" s="17"/>
      <c r="B829" s="17"/>
      <c r="C829" s="17"/>
      <c r="D829" s="23"/>
      <c r="E829" s="38"/>
      <c r="F829" s="35"/>
      <c r="G829" s="22"/>
      <c r="H829" s="23"/>
      <c r="I829" s="17"/>
      <c r="J829" s="23"/>
      <c r="K829" s="23"/>
      <c r="L829" s="23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</row>
    <row r="830">
      <c r="A830" s="17"/>
      <c r="B830" s="17"/>
      <c r="C830" s="17"/>
      <c r="D830" s="23"/>
      <c r="E830" s="38"/>
      <c r="F830" s="35"/>
      <c r="G830" s="22"/>
      <c r="H830" s="23"/>
      <c r="I830" s="17"/>
      <c r="J830" s="23"/>
      <c r="K830" s="23"/>
      <c r="L830" s="23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</row>
    <row r="831">
      <c r="A831" s="17"/>
      <c r="B831" s="17"/>
      <c r="C831" s="17"/>
      <c r="D831" s="23"/>
      <c r="E831" s="38"/>
      <c r="F831" s="35"/>
      <c r="G831" s="22"/>
      <c r="H831" s="23"/>
      <c r="I831" s="17"/>
      <c r="J831" s="23"/>
      <c r="K831" s="23"/>
      <c r="L831" s="23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</row>
    <row r="832">
      <c r="A832" s="17"/>
      <c r="B832" s="17"/>
      <c r="C832" s="17"/>
      <c r="D832" s="23"/>
      <c r="E832" s="38"/>
      <c r="F832" s="35"/>
      <c r="G832" s="22"/>
      <c r="H832" s="23"/>
      <c r="I832" s="17"/>
      <c r="J832" s="23"/>
      <c r="K832" s="23"/>
      <c r="L832" s="23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</row>
    <row r="833">
      <c r="A833" s="17"/>
      <c r="B833" s="17"/>
      <c r="C833" s="17"/>
      <c r="D833" s="23"/>
      <c r="E833" s="38"/>
      <c r="F833" s="35"/>
      <c r="G833" s="22"/>
      <c r="H833" s="23"/>
      <c r="I833" s="17"/>
      <c r="J833" s="23"/>
      <c r="K833" s="23"/>
      <c r="L833" s="23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</row>
    <row r="834">
      <c r="A834" s="17"/>
      <c r="B834" s="17"/>
      <c r="C834" s="17"/>
      <c r="D834" s="23"/>
      <c r="E834" s="38"/>
      <c r="F834" s="35"/>
      <c r="G834" s="22"/>
      <c r="H834" s="23"/>
      <c r="I834" s="17"/>
      <c r="J834" s="23"/>
      <c r="K834" s="23"/>
      <c r="L834" s="23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</row>
    <row r="835">
      <c r="A835" s="17"/>
      <c r="B835" s="17"/>
      <c r="C835" s="17"/>
      <c r="D835" s="23"/>
      <c r="E835" s="38"/>
      <c r="F835" s="35"/>
      <c r="G835" s="22"/>
      <c r="H835" s="23"/>
      <c r="I835" s="17"/>
      <c r="J835" s="23"/>
      <c r="K835" s="23"/>
      <c r="L835" s="23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</row>
    <row r="836">
      <c r="A836" s="17"/>
      <c r="B836" s="17"/>
      <c r="C836" s="17"/>
      <c r="D836" s="23"/>
      <c r="E836" s="38"/>
      <c r="F836" s="35"/>
      <c r="G836" s="22"/>
      <c r="H836" s="23"/>
      <c r="I836" s="17"/>
      <c r="J836" s="23"/>
      <c r="K836" s="23"/>
      <c r="L836" s="23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</row>
    <row r="837">
      <c r="A837" s="17"/>
      <c r="B837" s="17"/>
      <c r="C837" s="17"/>
      <c r="D837" s="23"/>
      <c r="E837" s="38"/>
      <c r="F837" s="35"/>
      <c r="G837" s="22"/>
      <c r="H837" s="23"/>
      <c r="I837" s="17"/>
      <c r="J837" s="23"/>
      <c r="K837" s="23"/>
      <c r="L837" s="23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</row>
    <row r="838">
      <c r="A838" s="17"/>
      <c r="B838" s="17"/>
      <c r="C838" s="17"/>
      <c r="D838" s="23"/>
      <c r="E838" s="38"/>
      <c r="F838" s="35"/>
      <c r="G838" s="22"/>
      <c r="H838" s="23"/>
      <c r="I838" s="17"/>
      <c r="J838" s="23"/>
      <c r="K838" s="23"/>
      <c r="L838" s="23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</row>
    <row r="839">
      <c r="A839" s="17"/>
      <c r="B839" s="17"/>
      <c r="C839" s="17"/>
      <c r="D839" s="23"/>
      <c r="E839" s="38"/>
      <c r="F839" s="35"/>
      <c r="G839" s="22"/>
      <c r="H839" s="23"/>
      <c r="I839" s="17"/>
      <c r="J839" s="23"/>
      <c r="K839" s="23"/>
      <c r="L839" s="23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</row>
    <row r="840">
      <c r="A840" s="17"/>
      <c r="B840" s="17"/>
      <c r="C840" s="17"/>
      <c r="D840" s="23"/>
      <c r="E840" s="38"/>
      <c r="F840" s="35"/>
      <c r="G840" s="22"/>
      <c r="H840" s="23"/>
      <c r="I840" s="17"/>
      <c r="J840" s="23"/>
      <c r="K840" s="23"/>
      <c r="L840" s="23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</row>
    <row r="841">
      <c r="A841" s="17"/>
      <c r="B841" s="17"/>
      <c r="C841" s="17"/>
      <c r="D841" s="23"/>
      <c r="E841" s="38"/>
      <c r="F841" s="35"/>
      <c r="G841" s="22"/>
      <c r="H841" s="23"/>
      <c r="I841" s="17"/>
      <c r="J841" s="23"/>
      <c r="K841" s="23"/>
      <c r="L841" s="23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</row>
    <row r="842">
      <c r="A842" s="17"/>
      <c r="B842" s="17"/>
      <c r="C842" s="17"/>
      <c r="D842" s="23"/>
      <c r="E842" s="38"/>
      <c r="F842" s="35"/>
      <c r="G842" s="22"/>
      <c r="H842" s="23"/>
      <c r="I842" s="17"/>
      <c r="J842" s="23"/>
      <c r="K842" s="23"/>
      <c r="L842" s="23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</row>
    <row r="843">
      <c r="A843" s="17"/>
      <c r="B843" s="17"/>
      <c r="C843" s="17"/>
      <c r="D843" s="23"/>
      <c r="E843" s="38"/>
      <c r="F843" s="35"/>
      <c r="G843" s="22"/>
      <c r="H843" s="23"/>
      <c r="I843" s="17"/>
      <c r="J843" s="23"/>
      <c r="K843" s="23"/>
      <c r="L843" s="23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</row>
    <row r="844">
      <c r="A844" s="17"/>
      <c r="B844" s="17"/>
      <c r="C844" s="17"/>
      <c r="D844" s="23"/>
      <c r="E844" s="38"/>
      <c r="F844" s="35"/>
      <c r="G844" s="22"/>
      <c r="H844" s="23"/>
      <c r="I844" s="17"/>
      <c r="J844" s="23"/>
      <c r="K844" s="23"/>
      <c r="L844" s="23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</row>
    <row r="845">
      <c r="A845" s="17"/>
      <c r="B845" s="17"/>
      <c r="C845" s="17"/>
      <c r="D845" s="23"/>
      <c r="E845" s="38"/>
      <c r="F845" s="35"/>
      <c r="G845" s="22"/>
      <c r="H845" s="23"/>
      <c r="I845" s="17"/>
      <c r="J845" s="23"/>
      <c r="K845" s="23"/>
      <c r="L845" s="23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</row>
    <row r="846">
      <c r="A846" s="17"/>
      <c r="B846" s="17"/>
      <c r="C846" s="17"/>
      <c r="D846" s="23"/>
      <c r="E846" s="38"/>
      <c r="F846" s="35"/>
      <c r="G846" s="22"/>
      <c r="H846" s="23"/>
      <c r="I846" s="17"/>
      <c r="J846" s="23"/>
      <c r="K846" s="23"/>
      <c r="L846" s="23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</row>
    <row r="847">
      <c r="A847" s="17"/>
      <c r="B847" s="17"/>
      <c r="C847" s="17"/>
      <c r="D847" s="23"/>
      <c r="E847" s="38"/>
      <c r="F847" s="35"/>
      <c r="G847" s="22"/>
      <c r="H847" s="23"/>
      <c r="I847" s="17"/>
      <c r="J847" s="23"/>
      <c r="K847" s="23"/>
      <c r="L847" s="23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</row>
    <row r="848">
      <c r="A848" s="17"/>
      <c r="B848" s="17"/>
      <c r="C848" s="17"/>
      <c r="D848" s="23"/>
      <c r="E848" s="38"/>
      <c r="F848" s="35"/>
      <c r="G848" s="22"/>
      <c r="H848" s="23"/>
      <c r="I848" s="17"/>
      <c r="J848" s="23"/>
      <c r="K848" s="23"/>
      <c r="L848" s="23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</row>
    <row r="849">
      <c r="A849" s="17"/>
      <c r="B849" s="17"/>
      <c r="C849" s="17"/>
      <c r="D849" s="23"/>
      <c r="E849" s="38"/>
      <c r="F849" s="35"/>
      <c r="G849" s="22"/>
      <c r="H849" s="23"/>
      <c r="I849" s="17"/>
      <c r="J849" s="23"/>
      <c r="K849" s="23"/>
      <c r="L849" s="23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</row>
    <row r="850">
      <c r="A850" s="17"/>
      <c r="B850" s="17"/>
      <c r="C850" s="17"/>
      <c r="D850" s="23"/>
      <c r="E850" s="38"/>
      <c r="F850" s="35"/>
      <c r="G850" s="22"/>
      <c r="H850" s="23"/>
      <c r="I850" s="17"/>
      <c r="J850" s="23"/>
      <c r="K850" s="23"/>
      <c r="L850" s="23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</row>
    <row r="851">
      <c r="A851" s="17"/>
      <c r="B851" s="17"/>
      <c r="C851" s="17"/>
      <c r="D851" s="23"/>
      <c r="E851" s="38"/>
      <c r="F851" s="35"/>
      <c r="G851" s="22"/>
      <c r="H851" s="23"/>
      <c r="I851" s="17"/>
      <c r="J851" s="23"/>
      <c r="K851" s="23"/>
      <c r="L851" s="23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</row>
    <row r="852">
      <c r="A852" s="17"/>
      <c r="B852" s="17"/>
      <c r="C852" s="17"/>
      <c r="D852" s="23"/>
      <c r="E852" s="38"/>
      <c r="F852" s="35"/>
      <c r="G852" s="22"/>
      <c r="H852" s="23"/>
      <c r="I852" s="17"/>
      <c r="J852" s="23"/>
      <c r="K852" s="23"/>
      <c r="L852" s="23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</row>
    <row r="853">
      <c r="A853" s="17"/>
      <c r="B853" s="17"/>
      <c r="C853" s="17"/>
      <c r="D853" s="23"/>
      <c r="E853" s="38"/>
      <c r="F853" s="35"/>
      <c r="G853" s="22"/>
      <c r="H853" s="23"/>
      <c r="I853" s="17"/>
      <c r="J853" s="23"/>
      <c r="K853" s="23"/>
      <c r="L853" s="23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</row>
    <row r="854">
      <c r="A854" s="17"/>
      <c r="B854" s="17"/>
      <c r="C854" s="17"/>
      <c r="D854" s="23"/>
      <c r="E854" s="38"/>
      <c r="F854" s="35"/>
      <c r="G854" s="22"/>
      <c r="H854" s="23"/>
      <c r="I854" s="17"/>
      <c r="J854" s="23"/>
      <c r="K854" s="23"/>
      <c r="L854" s="23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</row>
    <row r="855">
      <c r="A855" s="17"/>
      <c r="B855" s="17"/>
      <c r="C855" s="17"/>
      <c r="D855" s="23"/>
      <c r="E855" s="38"/>
      <c r="F855" s="35"/>
      <c r="G855" s="22"/>
      <c r="H855" s="23"/>
      <c r="I855" s="17"/>
      <c r="J855" s="23"/>
      <c r="K855" s="23"/>
      <c r="L855" s="23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</row>
    <row r="856">
      <c r="A856" s="17"/>
      <c r="B856" s="17"/>
      <c r="C856" s="17"/>
      <c r="D856" s="23"/>
      <c r="E856" s="38"/>
      <c r="F856" s="35"/>
      <c r="G856" s="22"/>
      <c r="H856" s="23"/>
      <c r="I856" s="17"/>
      <c r="J856" s="23"/>
      <c r="K856" s="23"/>
      <c r="L856" s="23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</row>
    <row r="857">
      <c r="A857" s="17"/>
      <c r="B857" s="17"/>
      <c r="C857" s="17"/>
      <c r="D857" s="23"/>
      <c r="E857" s="38"/>
      <c r="F857" s="35"/>
      <c r="G857" s="22"/>
      <c r="H857" s="23"/>
      <c r="I857" s="17"/>
      <c r="J857" s="23"/>
      <c r="K857" s="23"/>
      <c r="L857" s="23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</row>
    <row r="858">
      <c r="A858" s="17"/>
      <c r="B858" s="17"/>
      <c r="C858" s="17"/>
      <c r="D858" s="23"/>
      <c r="E858" s="38"/>
      <c r="F858" s="35"/>
      <c r="G858" s="22"/>
      <c r="H858" s="23"/>
      <c r="I858" s="17"/>
      <c r="J858" s="23"/>
      <c r="K858" s="23"/>
      <c r="L858" s="23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</row>
    <row r="859">
      <c r="A859" s="17"/>
      <c r="B859" s="17"/>
      <c r="C859" s="17"/>
      <c r="D859" s="23"/>
      <c r="E859" s="38"/>
      <c r="F859" s="35"/>
      <c r="G859" s="22"/>
      <c r="H859" s="23"/>
      <c r="I859" s="17"/>
      <c r="J859" s="23"/>
      <c r="K859" s="23"/>
      <c r="L859" s="23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</row>
    <row r="860">
      <c r="A860" s="17"/>
      <c r="B860" s="17"/>
      <c r="C860" s="17"/>
      <c r="D860" s="23"/>
      <c r="E860" s="38"/>
      <c r="F860" s="35"/>
      <c r="G860" s="22"/>
      <c r="H860" s="23"/>
      <c r="I860" s="17"/>
      <c r="J860" s="23"/>
      <c r="K860" s="23"/>
      <c r="L860" s="23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</row>
    <row r="861">
      <c r="A861" s="17"/>
      <c r="B861" s="17"/>
      <c r="C861" s="17"/>
      <c r="D861" s="23"/>
      <c r="E861" s="38"/>
      <c r="F861" s="35"/>
      <c r="G861" s="22"/>
      <c r="H861" s="23"/>
      <c r="I861" s="17"/>
      <c r="J861" s="23"/>
      <c r="K861" s="23"/>
      <c r="L861" s="23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</row>
    <row r="862">
      <c r="A862" s="17"/>
      <c r="B862" s="17"/>
      <c r="C862" s="17"/>
      <c r="D862" s="23"/>
      <c r="E862" s="38"/>
      <c r="F862" s="35"/>
      <c r="G862" s="22"/>
      <c r="H862" s="23"/>
      <c r="I862" s="17"/>
      <c r="J862" s="23"/>
      <c r="K862" s="23"/>
      <c r="L862" s="23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</row>
    <row r="863">
      <c r="A863" s="17"/>
      <c r="B863" s="17"/>
      <c r="C863" s="17"/>
      <c r="D863" s="23"/>
      <c r="E863" s="38"/>
      <c r="F863" s="35"/>
      <c r="G863" s="22"/>
      <c r="H863" s="23"/>
      <c r="I863" s="17"/>
      <c r="J863" s="23"/>
      <c r="K863" s="23"/>
      <c r="L863" s="23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</row>
    <row r="864">
      <c r="A864" s="17"/>
      <c r="B864" s="17"/>
      <c r="C864" s="17"/>
      <c r="D864" s="23"/>
      <c r="E864" s="38"/>
      <c r="F864" s="35"/>
      <c r="G864" s="22"/>
      <c r="H864" s="23"/>
      <c r="I864" s="17"/>
      <c r="J864" s="23"/>
      <c r="K864" s="23"/>
      <c r="L864" s="23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</row>
    <row r="865">
      <c r="A865" s="17"/>
      <c r="B865" s="17"/>
      <c r="C865" s="17"/>
      <c r="D865" s="23"/>
      <c r="E865" s="38"/>
      <c r="F865" s="35"/>
      <c r="G865" s="22"/>
      <c r="H865" s="23"/>
      <c r="I865" s="17"/>
      <c r="J865" s="23"/>
      <c r="K865" s="23"/>
      <c r="L865" s="23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</row>
    <row r="866">
      <c r="A866" s="17"/>
      <c r="B866" s="17"/>
      <c r="C866" s="17"/>
      <c r="D866" s="23"/>
      <c r="E866" s="38"/>
      <c r="F866" s="35"/>
      <c r="G866" s="22"/>
      <c r="H866" s="23"/>
      <c r="I866" s="17"/>
      <c r="J866" s="23"/>
      <c r="K866" s="23"/>
      <c r="L866" s="23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</row>
    <row r="867">
      <c r="A867" s="17"/>
      <c r="B867" s="17"/>
      <c r="C867" s="17"/>
      <c r="D867" s="23"/>
      <c r="E867" s="38"/>
      <c r="F867" s="35"/>
      <c r="G867" s="22"/>
      <c r="H867" s="23"/>
      <c r="I867" s="17"/>
      <c r="J867" s="23"/>
      <c r="K867" s="23"/>
      <c r="L867" s="23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</row>
    <row r="868">
      <c r="A868" s="17"/>
      <c r="B868" s="17"/>
      <c r="C868" s="17"/>
      <c r="D868" s="23"/>
      <c r="E868" s="38"/>
      <c r="F868" s="35"/>
      <c r="G868" s="22"/>
      <c r="H868" s="23"/>
      <c r="I868" s="17"/>
      <c r="J868" s="23"/>
      <c r="K868" s="23"/>
      <c r="L868" s="23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</row>
    <row r="869">
      <c r="A869" s="17"/>
      <c r="B869" s="17"/>
      <c r="C869" s="17"/>
      <c r="D869" s="23"/>
      <c r="E869" s="38"/>
      <c r="F869" s="35"/>
      <c r="G869" s="22"/>
      <c r="H869" s="23"/>
      <c r="I869" s="17"/>
      <c r="J869" s="23"/>
      <c r="K869" s="23"/>
      <c r="L869" s="23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</row>
    <row r="870">
      <c r="A870" s="17"/>
      <c r="B870" s="17"/>
      <c r="C870" s="17"/>
      <c r="D870" s="23"/>
      <c r="E870" s="38"/>
      <c r="F870" s="35"/>
      <c r="G870" s="22"/>
      <c r="H870" s="23"/>
      <c r="I870" s="17"/>
      <c r="J870" s="23"/>
      <c r="K870" s="23"/>
      <c r="L870" s="23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</row>
    <row r="871">
      <c r="A871" s="17"/>
      <c r="B871" s="17"/>
      <c r="C871" s="17"/>
      <c r="D871" s="23"/>
      <c r="E871" s="38"/>
      <c r="F871" s="35"/>
      <c r="G871" s="22"/>
      <c r="H871" s="23"/>
      <c r="I871" s="17"/>
      <c r="J871" s="23"/>
      <c r="K871" s="23"/>
      <c r="L871" s="23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</row>
    <row r="872">
      <c r="A872" s="17"/>
      <c r="B872" s="17"/>
      <c r="C872" s="17"/>
      <c r="D872" s="23"/>
      <c r="E872" s="38"/>
      <c r="F872" s="35"/>
      <c r="G872" s="22"/>
      <c r="H872" s="23"/>
      <c r="I872" s="17"/>
      <c r="J872" s="23"/>
      <c r="K872" s="23"/>
      <c r="L872" s="23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</row>
    <row r="873">
      <c r="A873" s="17"/>
      <c r="B873" s="17"/>
      <c r="C873" s="17"/>
      <c r="D873" s="23"/>
      <c r="E873" s="38"/>
      <c r="F873" s="35"/>
      <c r="G873" s="22"/>
      <c r="H873" s="23"/>
      <c r="I873" s="17"/>
      <c r="J873" s="23"/>
      <c r="K873" s="23"/>
      <c r="L873" s="23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</row>
    <row r="874">
      <c r="A874" s="17"/>
      <c r="B874" s="17"/>
      <c r="C874" s="17"/>
      <c r="D874" s="23"/>
      <c r="E874" s="38"/>
      <c r="F874" s="35"/>
      <c r="G874" s="22"/>
      <c r="H874" s="23"/>
      <c r="I874" s="17"/>
      <c r="J874" s="23"/>
      <c r="K874" s="23"/>
      <c r="L874" s="23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</row>
    <row r="875">
      <c r="A875" s="17"/>
      <c r="B875" s="17"/>
      <c r="C875" s="17"/>
      <c r="D875" s="23"/>
      <c r="E875" s="38"/>
      <c r="F875" s="35"/>
      <c r="G875" s="22"/>
      <c r="H875" s="23"/>
      <c r="I875" s="17"/>
      <c r="J875" s="23"/>
      <c r="K875" s="23"/>
      <c r="L875" s="23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</row>
    <row r="876">
      <c r="A876" s="17"/>
      <c r="B876" s="17"/>
      <c r="C876" s="17"/>
      <c r="D876" s="23"/>
      <c r="E876" s="38"/>
      <c r="F876" s="35"/>
      <c r="G876" s="22"/>
      <c r="H876" s="23"/>
      <c r="I876" s="17"/>
      <c r="J876" s="23"/>
      <c r="K876" s="23"/>
      <c r="L876" s="23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</row>
    <row r="877">
      <c r="A877" s="17"/>
      <c r="B877" s="17"/>
      <c r="C877" s="17"/>
      <c r="D877" s="23"/>
      <c r="E877" s="38"/>
      <c r="F877" s="35"/>
      <c r="G877" s="22"/>
      <c r="H877" s="23"/>
      <c r="I877" s="17"/>
      <c r="J877" s="23"/>
      <c r="K877" s="23"/>
      <c r="L877" s="23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</row>
    <row r="878">
      <c r="A878" s="17"/>
      <c r="B878" s="17"/>
      <c r="C878" s="17"/>
      <c r="D878" s="23"/>
      <c r="E878" s="38"/>
      <c r="F878" s="35"/>
      <c r="G878" s="22"/>
      <c r="H878" s="23"/>
      <c r="I878" s="17"/>
      <c r="J878" s="23"/>
      <c r="K878" s="23"/>
      <c r="L878" s="23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</row>
    <row r="879">
      <c r="A879" s="17"/>
      <c r="B879" s="17"/>
      <c r="C879" s="17"/>
      <c r="D879" s="23"/>
      <c r="E879" s="38"/>
      <c r="F879" s="35"/>
      <c r="G879" s="22"/>
      <c r="H879" s="23"/>
      <c r="I879" s="17"/>
      <c r="J879" s="23"/>
      <c r="K879" s="23"/>
      <c r="L879" s="23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</row>
    <row r="880">
      <c r="A880" s="17"/>
      <c r="B880" s="17"/>
      <c r="C880" s="17"/>
      <c r="D880" s="23"/>
      <c r="E880" s="38"/>
      <c r="F880" s="35"/>
      <c r="G880" s="22"/>
      <c r="H880" s="23"/>
      <c r="I880" s="17"/>
      <c r="J880" s="23"/>
      <c r="K880" s="23"/>
      <c r="L880" s="23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</row>
    <row r="881">
      <c r="A881" s="17"/>
      <c r="B881" s="17"/>
      <c r="C881" s="17"/>
      <c r="D881" s="23"/>
      <c r="E881" s="38"/>
      <c r="F881" s="35"/>
      <c r="G881" s="22"/>
      <c r="H881" s="23"/>
      <c r="I881" s="17"/>
      <c r="J881" s="23"/>
      <c r="K881" s="23"/>
      <c r="L881" s="23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</row>
    <row r="882">
      <c r="A882" s="17"/>
      <c r="B882" s="17"/>
      <c r="C882" s="17"/>
      <c r="D882" s="23"/>
      <c r="E882" s="38"/>
      <c r="F882" s="35"/>
      <c r="G882" s="22"/>
      <c r="H882" s="23"/>
      <c r="I882" s="17"/>
      <c r="J882" s="23"/>
      <c r="K882" s="23"/>
      <c r="L882" s="23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</row>
    <row r="883">
      <c r="A883" s="17"/>
      <c r="B883" s="17"/>
      <c r="C883" s="17"/>
      <c r="D883" s="23"/>
      <c r="E883" s="38"/>
      <c r="F883" s="35"/>
      <c r="G883" s="22"/>
      <c r="H883" s="23"/>
      <c r="I883" s="17"/>
      <c r="J883" s="23"/>
      <c r="K883" s="23"/>
      <c r="L883" s="23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</row>
    <row r="884">
      <c r="A884" s="17"/>
      <c r="B884" s="17"/>
      <c r="C884" s="17"/>
      <c r="D884" s="23"/>
      <c r="E884" s="38"/>
      <c r="F884" s="35"/>
      <c r="G884" s="22"/>
      <c r="H884" s="23"/>
      <c r="I884" s="17"/>
      <c r="J884" s="23"/>
      <c r="K884" s="23"/>
      <c r="L884" s="23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</row>
    <row r="885">
      <c r="A885" s="17"/>
      <c r="B885" s="17"/>
      <c r="C885" s="17"/>
      <c r="D885" s="23"/>
      <c r="E885" s="38"/>
      <c r="F885" s="35"/>
      <c r="G885" s="22"/>
      <c r="H885" s="23"/>
      <c r="I885" s="17"/>
      <c r="J885" s="23"/>
      <c r="K885" s="23"/>
      <c r="L885" s="23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</row>
    <row r="886">
      <c r="A886" s="17"/>
      <c r="B886" s="17"/>
      <c r="C886" s="17"/>
      <c r="D886" s="23"/>
      <c r="E886" s="38"/>
      <c r="F886" s="35"/>
      <c r="G886" s="22"/>
      <c r="H886" s="23"/>
      <c r="I886" s="17"/>
      <c r="J886" s="23"/>
      <c r="K886" s="23"/>
      <c r="L886" s="23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</row>
    <row r="887">
      <c r="A887" s="17"/>
      <c r="B887" s="17"/>
      <c r="C887" s="17"/>
      <c r="D887" s="23"/>
      <c r="E887" s="38"/>
      <c r="F887" s="35"/>
      <c r="G887" s="22"/>
      <c r="H887" s="23"/>
      <c r="I887" s="17"/>
      <c r="J887" s="23"/>
      <c r="K887" s="23"/>
      <c r="L887" s="23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</row>
    <row r="888">
      <c r="A888" s="17"/>
      <c r="B888" s="17"/>
      <c r="C888" s="17"/>
      <c r="D888" s="23"/>
      <c r="E888" s="38"/>
      <c r="F888" s="35"/>
      <c r="G888" s="22"/>
      <c r="H888" s="23"/>
      <c r="I888" s="17"/>
      <c r="J888" s="23"/>
      <c r="K888" s="23"/>
      <c r="L888" s="23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</row>
    <row r="889">
      <c r="A889" s="17"/>
      <c r="B889" s="17"/>
      <c r="C889" s="17"/>
      <c r="D889" s="23"/>
      <c r="E889" s="38"/>
      <c r="F889" s="35"/>
      <c r="G889" s="22"/>
      <c r="H889" s="23"/>
      <c r="I889" s="17"/>
      <c r="J889" s="23"/>
      <c r="K889" s="23"/>
      <c r="L889" s="23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</row>
    <row r="890">
      <c r="A890" s="17"/>
      <c r="B890" s="17"/>
      <c r="C890" s="17"/>
      <c r="D890" s="23"/>
      <c r="E890" s="38"/>
      <c r="F890" s="35"/>
      <c r="G890" s="22"/>
      <c r="H890" s="23"/>
      <c r="I890" s="17"/>
      <c r="J890" s="23"/>
      <c r="K890" s="23"/>
      <c r="L890" s="23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</row>
    <row r="891">
      <c r="A891" s="17"/>
      <c r="B891" s="17"/>
      <c r="C891" s="17"/>
      <c r="D891" s="23"/>
      <c r="E891" s="38"/>
      <c r="F891" s="35"/>
      <c r="G891" s="22"/>
      <c r="H891" s="23"/>
      <c r="I891" s="17"/>
      <c r="J891" s="23"/>
      <c r="K891" s="23"/>
      <c r="L891" s="23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</row>
    <row r="892">
      <c r="A892" s="17"/>
      <c r="B892" s="17"/>
      <c r="C892" s="17"/>
      <c r="D892" s="23"/>
      <c r="E892" s="38"/>
      <c r="F892" s="35"/>
      <c r="G892" s="22"/>
      <c r="H892" s="23"/>
      <c r="I892" s="17"/>
      <c r="J892" s="23"/>
      <c r="K892" s="23"/>
      <c r="L892" s="23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</row>
    <row r="893">
      <c r="A893" s="17"/>
      <c r="B893" s="17"/>
      <c r="C893" s="17"/>
      <c r="D893" s="23"/>
      <c r="E893" s="38"/>
      <c r="F893" s="35"/>
      <c r="G893" s="22"/>
      <c r="H893" s="23"/>
      <c r="I893" s="17"/>
      <c r="J893" s="23"/>
      <c r="K893" s="23"/>
      <c r="L893" s="23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</row>
    <row r="894">
      <c r="A894" s="17"/>
      <c r="B894" s="17"/>
      <c r="C894" s="17"/>
      <c r="D894" s="23"/>
      <c r="E894" s="38"/>
      <c r="F894" s="35"/>
      <c r="G894" s="22"/>
      <c r="H894" s="23"/>
      <c r="I894" s="17"/>
      <c r="J894" s="23"/>
      <c r="K894" s="23"/>
      <c r="L894" s="23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</row>
    <row r="895">
      <c r="A895" s="17"/>
      <c r="B895" s="17"/>
      <c r="C895" s="17"/>
      <c r="D895" s="23"/>
      <c r="E895" s="38"/>
      <c r="F895" s="35"/>
      <c r="G895" s="22"/>
      <c r="H895" s="23"/>
      <c r="I895" s="17"/>
      <c r="J895" s="23"/>
      <c r="K895" s="23"/>
      <c r="L895" s="23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</row>
    <row r="896">
      <c r="A896" s="17"/>
      <c r="B896" s="17"/>
      <c r="C896" s="17"/>
      <c r="D896" s="23"/>
      <c r="E896" s="38"/>
      <c r="F896" s="35"/>
      <c r="G896" s="22"/>
      <c r="H896" s="23"/>
      <c r="I896" s="17"/>
      <c r="J896" s="23"/>
      <c r="K896" s="23"/>
      <c r="L896" s="23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</row>
    <row r="897">
      <c r="A897" s="17"/>
      <c r="B897" s="17"/>
      <c r="C897" s="17"/>
      <c r="D897" s="23"/>
      <c r="E897" s="38"/>
      <c r="F897" s="35"/>
      <c r="G897" s="22"/>
      <c r="H897" s="23"/>
      <c r="I897" s="17"/>
      <c r="J897" s="23"/>
      <c r="K897" s="23"/>
      <c r="L897" s="23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</row>
    <row r="898">
      <c r="A898" s="17"/>
      <c r="B898" s="17"/>
      <c r="C898" s="17"/>
      <c r="D898" s="23"/>
      <c r="E898" s="38"/>
      <c r="F898" s="35"/>
      <c r="G898" s="22"/>
      <c r="H898" s="23"/>
      <c r="I898" s="17"/>
      <c r="J898" s="23"/>
      <c r="K898" s="23"/>
      <c r="L898" s="23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</row>
    <row r="899">
      <c r="A899" s="17"/>
      <c r="B899" s="17"/>
      <c r="C899" s="17"/>
      <c r="D899" s="23"/>
      <c r="E899" s="38"/>
      <c r="F899" s="35"/>
      <c r="G899" s="22"/>
      <c r="H899" s="23"/>
      <c r="I899" s="17"/>
      <c r="J899" s="23"/>
      <c r="K899" s="23"/>
      <c r="L899" s="23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</row>
    <row r="900">
      <c r="A900" s="17"/>
      <c r="B900" s="17"/>
      <c r="C900" s="17"/>
      <c r="D900" s="23"/>
      <c r="E900" s="38"/>
      <c r="F900" s="35"/>
      <c r="G900" s="22"/>
      <c r="H900" s="23"/>
      <c r="I900" s="17"/>
      <c r="J900" s="23"/>
      <c r="K900" s="23"/>
      <c r="L900" s="23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</row>
    <row r="901">
      <c r="A901" s="17"/>
      <c r="B901" s="17"/>
      <c r="C901" s="17"/>
      <c r="D901" s="23"/>
      <c r="E901" s="38"/>
      <c r="F901" s="35"/>
      <c r="G901" s="22"/>
      <c r="H901" s="23"/>
      <c r="I901" s="17"/>
      <c r="J901" s="23"/>
      <c r="K901" s="23"/>
      <c r="L901" s="23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</row>
    <row r="902">
      <c r="A902" s="17"/>
      <c r="B902" s="17"/>
      <c r="C902" s="17"/>
      <c r="D902" s="23"/>
      <c r="E902" s="38"/>
      <c r="F902" s="35"/>
      <c r="G902" s="22"/>
      <c r="H902" s="23"/>
      <c r="I902" s="17"/>
      <c r="J902" s="23"/>
      <c r="K902" s="23"/>
      <c r="L902" s="23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</row>
    <row r="903">
      <c r="A903" s="17"/>
      <c r="B903" s="17"/>
      <c r="C903" s="17"/>
      <c r="D903" s="23"/>
      <c r="E903" s="38"/>
      <c r="F903" s="35"/>
      <c r="G903" s="22"/>
      <c r="H903" s="23"/>
      <c r="I903" s="17"/>
      <c r="J903" s="23"/>
      <c r="K903" s="23"/>
      <c r="L903" s="23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</row>
    <row r="904">
      <c r="A904" s="17"/>
      <c r="B904" s="17"/>
      <c r="C904" s="17"/>
      <c r="D904" s="23"/>
      <c r="E904" s="38"/>
      <c r="F904" s="35"/>
      <c r="G904" s="22"/>
      <c r="H904" s="23"/>
      <c r="I904" s="17"/>
      <c r="J904" s="23"/>
      <c r="K904" s="23"/>
      <c r="L904" s="23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</row>
    <row r="905">
      <c r="A905" s="17"/>
      <c r="B905" s="17"/>
      <c r="C905" s="17"/>
      <c r="D905" s="23"/>
      <c r="E905" s="38"/>
      <c r="F905" s="35"/>
      <c r="G905" s="22"/>
      <c r="H905" s="23"/>
      <c r="I905" s="17"/>
      <c r="J905" s="23"/>
      <c r="K905" s="23"/>
      <c r="L905" s="23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</row>
    <row r="906">
      <c r="A906" s="17"/>
      <c r="B906" s="17"/>
      <c r="C906" s="17"/>
      <c r="D906" s="23"/>
      <c r="E906" s="38"/>
      <c r="F906" s="35"/>
      <c r="G906" s="22"/>
      <c r="H906" s="23"/>
      <c r="I906" s="17"/>
      <c r="J906" s="23"/>
      <c r="K906" s="23"/>
      <c r="L906" s="23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</row>
    <row r="907">
      <c r="A907" s="17"/>
      <c r="B907" s="17"/>
      <c r="C907" s="17"/>
      <c r="D907" s="23"/>
      <c r="E907" s="38"/>
      <c r="F907" s="35"/>
      <c r="G907" s="22"/>
      <c r="H907" s="23"/>
      <c r="I907" s="17"/>
      <c r="J907" s="23"/>
      <c r="K907" s="23"/>
      <c r="L907" s="23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</row>
    <row r="908">
      <c r="A908" s="17"/>
      <c r="B908" s="17"/>
      <c r="C908" s="17"/>
      <c r="D908" s="23"/>
      <c r="E908" s="38"/>
      <c r="F908" s="35"/>
      <c r="G908" s="22"/>
      <c r="H908" s="23"/>
      <c r="I908" s="17"/>
      <c r="J908" s="23"/>
      <c r="K908" s="23"/>
      <c r="L908" s="23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</row>
    <row r="909">
      <c r="A909" s="17"/>
      <c r="B909" s="17"/>
      <c r="C909" s="17"/>
      <c r="D909" s="23"/>
      <c r="E909" s="38"/>
      <c r="F909" s="35"/>
      <c r="G909" s="22"/>
      <c r="H909" s="23"/>
      <c r="I909" s="17"/>
      <c r="J909" s="23"/>
      <c r="K909" s="23"/>
      <c r="L909" s="23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</row>
    <row r="910">
      <c r="A910" s="17"/>
      <c r="B910" s="17"/>
      <c r="C910" s="17"/>
      <c r="D910" s="23"/>
      <c r="E910" s="38"/>
      <c r="F910" s="35"/>
      <c r="G910" s="22"/>
      <c r="H910" s="23"/>
      <c r="I910" s="17"/>
      <c r="J910" s="23"/>
      <c r="K910" s="23"/>
      <c r="L910" s="23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</row>
    <row r="911">
      <c r="A911" s="17"/>
      <c r="B911" s="17"/>
      <c r="C911" s="17"/>
      <c r="D911" s="23"/>
      <c r="E911" s="38"/>
      <c r="F911" s="35"/>
      <c r="G911" s="22"/>
      <c r="H911" s="23"/>
      <c r="I911" s="17"/>
      <c r="J911" s="23"/>
      <c r="K911" s="23"/>
      <c r="L911" s="23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</row>
    <row r="912">
      <c r="A912" s="17"/>
      <c r="B912" s="17"/>
      <c r="C912" s="17"/>
      <c r="D912" s="23"/>
      <c r="E912" s="38"/>
      <c r="F912" s="35"/>
      <c r="G912" s="22"/>
      <c r="H912" s="23"/>
      <c r="I912" s="17"/>
      <c r="J912" s="23"/>
      <c r="K912" s="23"/>
      <c r="L912" s="23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</row>
    <row r="913">
      <c r="A913" s="17"/>
      <c r="B913" s="17"/>
      <c r="C913" s="17"/>
      <c r="D913" s="23"/>
      <c r="E913" s="38"/>
      <c r="F913" s="35"/>
      <c r="G913" s="22"/>
      <c r="H913" s="23"/>
      <c r="I913" s="17"/>
      <c r="J913" s="23"/>
      <c r="K913" s="23"/>
      <c r="L913" s="23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</row>
    <row r="914">
      <c r="A914" s="17"/>
      <c r="B914" s="17"/>
      <c r="C914" s="17"/>
      <c r="D914" s="23"/>
      <c r="E914" s="38"/>
      <c r="F914" s="35"/>
      <c r="G914" s="22"/>
      <c r="H914" s="23"/>
      <c r="I914" s="17"/>
      <c r="J914" s="23"/>
      <c r="K914" s="23"/>
      <c r="L914" s="23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</row>
    <row r="915">
      <c r="A915" s="17"/>
      <c r="B915" s="17"/>
      <c r="C915" s="17"/>
      <c r="D915" s="23"/>
      <c r="E915" s="38"/>
      <c r="F915" s="35"/>
      <c r="G915" s="22"/>
      <c r="H915" s="23"/>
      <c r="I915" s="17"/>
      <c r="J915" s="23"/>
      <c r="K915" s="23"/>
      <c r="L915" s="23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</row>
    <row r="916">
      <c r="A916" s="17"/>
      <c r="B916" s="17"/>
      <c r="C916" s="17"/>
      <c r="D916" s="23"/>
      <c r="E916" s="38"/>
      <c r="F916" s="35"/>
      <c r="G916" s="22"/>
      <c r="H916" s="23"/>
      <c r="I916" s="17"/>
      <c r="J916" s="23"/>
      <c r="K916" s="23"/>
      <c r="L916" s="23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</row>
    <row r="917">
      <c r="A917" s="17"/>
      <c r="B917" s="17"/>
      <c r="C917" s="17"/>
      <c r="D917" s="23"/>
      <c r="E917" s="38"/>
      <c r="F917" s="35"/>
      <c r="G917" s="22"/>
      <c r="H917" s="23"/>
      <c r="I917" s="17"/>
      <c r="J917" s="23"/>
      <c r="K917" s="23"/>
      <c r="L917" s="23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</row>
    <row r="918">
      <c r="A918" s="17"/>
      <c r="B918" s="17"/>
      <c r="C918" s="17"/>
      <c r="D918" s="23"/>
      <c r="E918" s="38"/>
      <c r="F918" s="35"/>
      <c r="G918" s="22"/>
      <c r="H918" s="23"/>
      <c r="I918" s="17"/>
      <c r="J918" s="23"/>
      <c r="K918" s="23"/>
      <c r="L918" s="23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</row>
    <row r="919">
      <c r="A919" s="17"/>
      <c r="B919" s="17"/>
      <c r="C919" s="17"/>
      <c r="D919" s="23"/>
      <c r="E919" s="38"/>
      <c r="F919" s="35"/>
      <c r="G919" s="22"/>
      <c r="H919" s="23"/>
      <c r="I919" s="17"/>
      <c r="J919" s="23"/>
      <c r="K919" s="23"/>
      <c r="L919" s="23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</row>
    <row r="920">
      <c r="A920" s="17"/>
      <c r="B920" s="17"/>
      <c r="C920" s="17"/>
      <c r="D920" s="23"/>
      <c r="E920" s="38"/>
      <c r="F920" s="35"/>
      <c r="G920" s="22"/>
      <c r="H920" s="23"/>
      <c r="I920" s="17"/>
      <c r="J920" s="23"/>
      <c r="K920" s="23"/>
      <c r="L920" s="23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</row>
    <row r="921">
      <c r="A921" s="17"/>
      <c r="B921" s="17"/>
      <c r="C921" s="17"/>
      <c r="D921" s="23"/>
      <c r="E921" s="38"/>
      <c r="F921" s="35"/>
      <c r="G921" s="22"/>
      <c r="H921" s="23"/>
      <c r="I921" s="17"/>
      <c r="J921" s="23"/>
      <c r="K921" s="23"/>
      <c r="L921" s="23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</row>
    <row r="922">
      <c r="A922" s="17"/>
      <c r="B922" s="17"/>
      <c r="C922" s="17"/>
      <c r="D922" s="23"/>
      <c r="E922" s="38"/>
      <c r="F922" s="35"/>
      <c r="G922" s="22"/>
      <c r="H922" s="23"/>
      <c r="I922" s="17"/>
      <c r="J922" s="23"/>
      <c r="K922" s="23"/>
      <c r="L922" s="23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</row>
    <row r="923">
      <c r="A923" s="17"/>
      <c r="B923" s="17"/>
      <c r="C923" s="17"/>
      <c r="D923" s="23"/>
      <c r="E923" s="38"/>
      <c r="F923" s="35"/>
      <c r="G923" s="22"/>
      <c r="H923" s="23"/>
      <c r="I923" s="17"/>
      <c r="J923" s="23"/>
      <c r="K923" s="23"/>
      <c r="L923" s="23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</row>
    <row r="924">
      <c r="A924" s="17"/>
      <c r="B924" s="17"/>
      <c r="C924" s="17"/>
      <c r="D924" s="23"/>
      <c r="E924" s="38"/>
      <c r="F924" s="35"/>
      <c r="G924" s="22"/>
      <c r="H924" s="23"/>
      <c r="I924" s="17"/>
      <c r="J924" s="23"/>
      <c r="K924" s="23"/>
      <c r="L924" s="23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</row>
    <row r="925">
      <c r="A925" s="17"/>
      <c r="B925" s="17"/>
      <c r="C925" s="17"/>
      <c r="D925" s="23"/>
      <c r="E925" s="38"/>
      <c r="F925" s="35"/>
      <c r="G925" s="22"/>
      <c r="H925" s="23"/>
      <c r="I925" s="17"/>
      <c r="J925" s="23"/>
      <c r="K925" s="23"/>
      <c r="L925" s="23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</row>
    <row r="926">
      <c r="A926" s="17"/>
      <c r="B926" s="17"/>
      <c r="C926" s="17"/>
      <c r="D926" s="23"/>
      <c r="E926" s="38"/>
      <c r="F926" s="35"/>
      <c r="G926" s="22"/>
      <c r="H926" s="23"/>
      <c r="I926" s="17"/>
      <c r="J926" s="23"/>
      <c r="K926" s="23"/>
      <c r="L926" s="23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</row>
    <row r="927">
      <c r="A927" s="17"/>
      <c r="B927" s="17"/>
      <c r="C927" s="17"/>
      <c r="D927" s="23"/>
      <c r="E927" s="38"/>
      <c r="F927" s="35"/>
      <c r="G927" s="22"/>
      <c r="H927" s="23"/>
      <c r="I927" s="17"/>
      <c r="J927" s="23"/>
      <c r="K927" s="23"/>
      <c r="L927" s="23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</row>
    <row r="928">
      <c r="A928" s="17"/>
      <c r="B928" s="17"/>
      <c r="C928" s="17"/>
      <c r="D928" s="23"/>
      <c r="E928" s="38"/>
      <c r="F928" s="35"/>
      <c r="G928" s="22"/>
      <c r="H928" s="23"/>
      <c r="I928" s="17"/>
      <c r="J928" s="23"/>
      <c r="K928" s="23"/>
      <c r="L928" s="23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</row>
    <row r="929">
      <c r="A929" s="17"/>
      <c r="B929" s="17"/>
      <c r="C929" s="17"/>
      <c r="D929" s="23"/>
      <c r="E929" s="38"/>
      <c r="F929" s="35"/>
      <c r="G929" s="22"/>
      <c r="H929" s="23"/>
      <c r="I929" s="17"/>
      <c r="J929" s="23"/>
      <c r="K929" s="23"/>
      <c r="L929" s="23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</row>
    <row r="930">
      <c r="A930" s="17"/>
      <c r="B930" s="17"/>
      <c r="C930" s="17"/>
      <c r="D930" s="23"/>
      <c r="E930" s="38"/>
      <c r="F930" s="35"/>
      <c r="G930" s="22"/>
      <c r="H930" s="23"/>
      <c r="I930" s="17"/>
      <c r="J930" s="23"/>
      <c r="K930" s="23"/>
      <c r="L930" s="23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</row>
    <row r="931">
      <c r="A931" s="17"/>
      <c r="B931" s="17"/>
      <c r="C931" s="17"/>
      <c r="D931" s="23"/>
      <c r="E931" s="38"/>
      <c r="F931" s="35"/>
      <c r="G931" s="22"/>
      <c r="H931" s="23"/>
      <c r="I931" s="17"/>
      <c r="J931" s="23"/>
      <c r="K931" s="23"/>
      <c r="L931" s="23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</row>
    <row r="932">
      <c r="A932" s="17"/>
      <c r="B932" s="17"/>
      <c r="C932" s="17"/>
      <c r="D932" s="23"/>
      <c r="E932" s="38"/>
      <c r="F932" s="35"/>
      <c r="G932" s="22"/>
      <c r="H932" s="23"/>
      <c r="I932" s="17"/>
      <c r="J932" s="23"/>
      <c r="K932" s="23"/>
      <c r="L932" s="23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</row>
    <row r="933">
      <c r="A933" s="17"/>
      <c r="B933" s="17"/>
      <c r="C933" s="17"/>
      <c r="D933" s="23"/>
      <c r="E933" s="38"/>
      <c r="F933" s="35"/>
      <c r="G933" s="22"/>
      <c r="H933" s="23"/>
      <c r="I933" s="17"/>
      <c r="J933" s="23"/>
      <c r="K933" s="23"/>
      <c r="L933" s="23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</row>
    <row r="934">
      <c r="A934" s="17"/>
      <c r="B934" s="17"/>
      <c r="C934" s="17"/>
      <c r="D934" s="23"/>
      <c r="E934" s="38"/>
      <c r="F934" s="35"/>
      <c r="G934" s="22"/>
      <c r="H934" s="23"/>
      <c r="I934" s="17"/>
      <c r="J934" s="23"/>
      <c r="K934" s="23"/>
      <c r="L934" s="23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</row>
    <row r="935">
      <c r="A935" s="17"/>
      <c r="B935" s="17"/>
      <c r="C935" s="17"/>
      <c r="D935" s="23"/>
      <c r="E935" s="38"/>
      <c r="F935" s="35"/>
      <c r="G935" s="22"/>
      <c r="H935" s="23"/>
      <c r="I935" s="17"/>
      <c r="J935" s="23"/>
      <c r="K935" s="23"/>
      <c r="L935" s="23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</row>
    <row r="936">
      <c r="A936" s="17"/>
      <c r="B936" s="17"/>
      <c r="C936" s="17"/>
      <c r="D936" s="23"/>
      <c r="E936" s="38"/>
      <c r="F936" s="35"/>
      <c r="G936" s="22"/>
      <c r="H936" s="23"/>
      <c r="I936" s="17"/>
      <c r="J936" s="23"/>
      <c r="K936" s="23"/>
      <c r="L936" s="23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</row>
    <row r="937">
      <c r="A937" s="17"/>
      <c r="B937" s="17"/>
      <c r="C937" s="17"/>
      <c r="D937" s="23"/>
      <c r="E937" s="38"/>
      <c r="F937" s="35"/>
      <c r="G937" s="22"/>
      <c r="H937" s="23"/>
      <c r="I937" s="17"/>
      <c r="J937" s="23"/>
      <c r="K937" s="23"/>
      <c r="L937" s="23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</row>
    <row r="938">
      <c r="A938" s="17"/>
      <c r="B938" s="17"/>
      <c r="C938" s="17"/>
      <c r="D938" s="23"/>
      <c r="E938" s="38"/>
      <c r="F938" s="35"/>
      <c r="G938" s="22"/>
      <c r="H938" s="23"/>
      <c r="I938" s="17"/>
      <c r="J938" s="23"/>
      <c r="K938" s="23"/>
      <c r="L938" s="23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</row>
    <row r="939">
      <c r="A939" s="17"/>
      <c r="B939" s="17"/>
      <c r="C939" s="17"/>
      <c r="D939" s="23"/>
      <c r="E939" s="38"/>
      <c r="F939" s="35"/>
      <c r="G939" s="22"/>
      <c r="H939" s="23"/>
      <c r="I939" s="17"/>
      <c r="J939" s="23"/>
      <c r="K939" s="23"/>
      <c r="L939" s="23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</row>
    <row r="940">
      <c r="A940" s="17"/>
      <c r="B940" s="17"/>
      <c r="C940" s="17"/>
      <c r="D940" s="23"/>
      <c r="E940" s="38"/>
      <c r="F940" s="35"/>
      <c r="G940" s="22"/>
      <c r="H940" s="23"/>
      <c r="I940" s="17"/>
      <c r="J940" s="23"/>
      <c r="K940" s="23"/>
      <c r="L940" s="23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</row>
    <row r="941">
      <c r="A941" s="17"/>
      <c r="B941" s="17"/>
      <c r="C941" s="17"/>
      <c r="D941" s="23"/>
      <c r="E941" s="38"/>
      <c r="F941" s="35"/>
      <c r="G941" s="22"/>
      <c r="H941" s="23"/>
      <c r="I941" s="17"/>
      <c r="J941" s="23"/>
      <c r="K941" s="23"/>
      <c r="L941" s="23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</row>
    <row r="942">
      <c r="A942" s="17"/>
      <c r="B942" s="17"/>
      <c r="C942" s="17"/>
      <c r="D942" s="23"/>
      <c r="E942" s="38"/>
      <c r="F942" s="35"/>
      <c r="G942" s="22"/>
      <c r="H942" s="23"/>
      <c r="I942" s="17"/>
      <c r="J942" s="23"/>
      <c r="K942" s="23"/>
      <c r="L942" s="23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</row>
    <row r="943">
      <c r="A943" s="17"/>
      <c r="B943" s="17"/>
      <c r="C943" s="17"/>
      <c r="D943" s="23"/>
      <c r="E943" s="38"/>
      <c r="F943" s="35"/>
      <c r="G943" s="22"/>
      <c r="H943" s="23"/>
      <c r="I943" s="17"/>
      <c r="J943" s="23"/>
      <c r="K943" s="23"/>
      <c r="L943" s="23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</row>
    <row r="944">
      <c r="A944" s="17"/>
      <c r="B944" s="17"/>
      <c r="C944" s="17"/>
      <c r="D944" s="23"/>
      <c r="E944" s="38"/>
      <c r="F944" s="35"/>
      <c r="G944" s="22"/>
      <c r="H944" s="23"/>
      <c r="I944" s="17"/>
      <c r="J944" s="23"/>
      <c r="K944" s="23"/>
      <c r="L944" s="23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</row>
    <row r="945">
      <c r="A945" s="17"/>
      <c r="B945" s="17"/>
      <c r="C945" s="17"/>
      <c r="D945" s="23"/>
      <c r="E945" s="38"/>
      <c r="F945" s="35"/>
      <c r="G945" s="22"/>
      <c r="H945" s="23"/>
      <c r="I945" s="17"/>
      <c r="J945" s="23"/>
      <c r="K945" s="23"/>
      <c r="L945" s="23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</row>
    <row r="946">
      <c r="A946" s="17"/>
      <c r="B946" s="17"/>
      <c r="C946" s="17"/>
      <c r="D946" s="23"/>
      <c r="E946" s="38"/>
      <c r="F946" s="35"/>
      <c r="G946" s="22"/>
      <c r="H946" s="23"/>
      <c r="I946" s="17"/>
      <c r="J946" s="23"/>
      <c r="K946" s="23"/>
      <c r="L946" s="23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</row>
    <row r="947">
      <c r="A947" s="17"/>
      <c r="B947" s="17"/>
      <c r="C947" s="17"/>
      <c r="D947" s="23"/>
      <c r="E947" s="38"/>
      <c r="F947" s="35"/>
      <c r="G947" s="22"/>
      <c r="H947" s="23"/>
      <c r="I947" s="17"/>
      <c r="J947" s="23"/>
      <c r="K947" s="23"/>
      <c r="L947" s="23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</row>
    <row r="948">
      <c r="A948" s="17"/>
      <c r="B948" s="17"/>
      <c r="C948" s="17"/>
      <c r="D948" s="23"/>
      <c r="E948" s="38"/>
      <c r="F948" s="35"/>
      <c r="G948" s="22"/>
      <c r="H948" s="23"/>
      <c r="I948" s="17"/>
      <c r="J948" s="23"/>
      <c r="K948" s="23"/>
      <c r="L948" s="23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</row>
    <row r="949">
      <c r="A949" s="17"/>
      <c r="B949" s="17"/>
      <c r="C949" s="17"/>
      <c r="D949" s="23"/>
      <c r="E949" s="38"/>
      <c r="F949" s="35"/>
      <c r="G949" s="22"/>
      <c r="H949" s="23"/>
      <c r="I949" s="17"/>
      <c r="J949" s="23"/>
      <c r="K949" s="23"/>
      <c r="L949" s="23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</row>
    <row r="950">
      <c r="A950" s="17"/>
      <c r="B950" s="17"/>
      <c r="C950" s="17"/>
      <c r="D950" s="23"/>
      <c r="E950" s="38"/>
      <c r="F950" s="35"/>
      <c r="G950" s="22"/>
      <c r="H950" s="23"/>
      <c r="I950" s="17"/>
      <c r="J950" s="23"/>
      <c r="K950" s="23"/>
      <c r="L950" s="23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</row>
    <row r="951">
      <c r="A951" s="17"/>
      <c r="B951" s="17"/>
      <c r="C951" s="17"/>
      <c r="D951" s="23"/>
      <c r="E951" s="38"/>
      <c r="F951" s="35"/>
      <c r="G951" s="22"/>
      <c r="H951" s="23"/>
      <c r="I951" s="17"/>
      <c r="J951" s="23"/>
      <c r="K951" s="23"/>
      <c r="L951" s="23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</row>
    <row r="952">
      <c r="A952" s="17"/>
      <c r="B952" s="17"/>
      <c r="C952" s="17"/>
      <c r="D952" s="23"/>
      <c r="E952" s="38"/>
      <c r="F952" s="35"/>
      <c r="G952" s="22"/>
      <c r="H952" s="23"/>
      <c r="I952" s="17"/>
      <c r="J952" s="23"/>
      <c r="K952" s="23"/>
      <c r="L952" s="23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</row>
    <row r="953">
      <c r="A953" s="17"/>
      <c r="B953" s="17"/>
      <c r="C953" s="17"/>
      <c r="D953" s="23"/>
      <c r="E953" s="38"/>
      <c r="F953" s="35"/>
      <c r="G953" s="22"/>
      <c r="H953" s="23"/>
      <c r="I953" s="17"/>
      <c r="J953" s="23"/>
      <c r="K953" s="23"/>
      <c r="L953" s="23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</row>
    <row r="954">
      <c r="A954" s="17"/>
      <c r="B954" s="17"/>
      <c r="C954" s="17"/>
      <c r="D954" s="23"/>
      <c r="E954" s="38"/>
      <c r="F954" s="35"/>
      <c r="G954" s="22"/>
      <c r="H954" s="23"/>
      <c r="I954" s="17"/>
      <c r="J954" s="23"/>
      <c r="K954" s="23"/>
      <c r="L954" s="23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</row>
    <row r="955">
      <c r="A955" s="17"/>
      <c r="B955" s="17"/>
      <c r="C955" s="17"/>
      <c r="D955" s="23"/>
      <c r="E955" s="38"/>
      <c r="F955" s="35"/>
      <c r="G955" s="22"/>
      <c r="H955" s="23"/>
      <c r="I955" s="17"/>
      <c r="J955" s="23"/>
      <c r="K955" s="23"/>
      <c r="L955" s="23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</row>
    <row r="956">
      <c r="A956" s="17"/>
      <c r="B956" s="17"/>
      <c r="C956" s="17"/>
      <c r="D956" s="23"/>
      <c r="E956" s="38"/>
      <c r="F956" s="35"/>
      <c r="G956" s="22"/>
      <c r="H956" s="23"/>
      <c r="I956" s="17"/>
      <c r="J956" s="23"/>
      <c r="K956" s="23"/>
      <c r="L956" s="23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</row>
    <row r="957">
      <c r="A957" s="17"/>
      <c r="B957" s="17"/>
      <c r="C957" s="17"/>
      <c r="D957" s="23"/>
      <c r="E957" s="38"/>
      <c r="F957" s="35"/>
      <c r="G957" s="22"/>
      <c r="H957" s="23"/>
      <c r="I957" s="17"/>
      <c r="J957" s="23"/>
      <c r="K957" s="23"/>
      <c r="L957" s="23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</row>
    <row r="958">
      <c r="A958" s="17"/>
      <c r="B958" s="17"/>
      <c r="C958" s="17"/>
      <c r="D958" s="23"/>
      <c r="E958" s="38"/>
      <c r="F958" s="35"/>
      <c r="G958" s="22"/>
      <c r="H958" s="23"/>
      <c r="I958" s="17"/>
      <c r="J958" s="23"/>
      <c r="K958" s="23"/>
      <c r="L958" s="23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</row>
    <row r="959">
      <c r="A959" s="17"/>
      <c r="B959" s="17"/>
      <c r="C959" s="17"/>
      <c r="D959" s="23"/>
      <c r="E959" s="38"/>
      <c r="F959" s="35"/>
      <c r="G959" s="22"/>
      <c r="H959" s="23"/>
      <c r="I959" s="17"/>
      <c r="J959" s="23"/>
      <c r="K959" s="23"/>
      <c r="L959" s="23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</row>
    <row r="960">
      <c r="A960" s="17"/>
      <c r="B960" s="17"/>
      <c r="C960" s="17"/>
      <c r="D960" s="23"/>
      <c r="E960" s="38"/>
      <c r="F960" s="35"/>
      <c r="G960" s="22"/>
      <c r="H960" s="23"/>
      <c r="I960" s="17"/>
      <c r="J960" s="23"/>
      <c r="K960" s="23"/>
      <c r="L960" s="23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</row>
    <row r="961">
      <c r="A961" s="17"/>
      <c r="B961" s="17"/>
      <c r="C961" s="17"/>
      <c r="D961" s="23"/>
      <c r="E961" s="38"/>
      <c r="F961" s="35"/>
      <c r="G961" s="22"/>
      <c r="H961" s="23"/>
      <c r="I961" s="17"/>
      <c r="J961" s="23"/>
      <c r="K961" s="23"/>
      <c r="L961" s="23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</row>
    <row r="962">
      <c r="A962" s="17"/>
      <c r="B962" s="17"/>
      <c r="C962" s="17"/>
      <c r="D962" s="23"/>
      <c r="E962" s="38"/>
      <c r="F962" s="35"/>
      <c r="G962" s="22"/>
      <c r="H962" s="23"/>
      <c r="I962" s="17"/>
      <c r="J962" s="23"/>
      <c r="K962" s="23"/>
      <c r="L962" s="23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</row>
    <row r="963">
      <c r="A963" s="17"/>
      <c r="B963" s="17"/>
      <c r="C963" s="17"/>
      <c r="D963" s="23"/>
      <c r="E963" s="38"/>
      <c r="F963" s="35"/>
      <c r="G963" s="22"/>
      <c r="H963" s="23"/>
      <c r="I963" s="17"/>
      <c r="J963" s="23"/>
      <c r="K963" s="23"/>
      <c r="L963" s="23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</row>
    <row r="964">
      <c r="A964" s="17"/>
      <c r="B964" s="17"/>
      <c r="C964" s="17"/>
      <c r="D964" s="23"/>
      <c r="E964" s="38"/>
      <c r="F964" s="35"/>
      <c r="G964" s="22"/>
      <c r="H964" s="23"/>
      <c r="I964" s="17"/>
      <c r="J964" s="23"/>
      <c r="K964" s="23"/>
      <c r="L964" s="23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</row>
    <row r="965">
      <c r="A965" s="17"/>
      <c r="B965" s="17"/>
      <c r="C965" s="17"/>
      <c r="D965" s="23"/>
      <c r="E965" s="38"/>
      <c r="F965" s="35"/>
      <c r="G965" s="22"/>
      <c r="H965" s="23"/>
      <c r="I965" s="17"/>
      <c r="J965" s="23"/>
      <c r="K965" s="23"/>
      <c r="L965" s="23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</row>
    <row r="966">
      <c r="A966" s="17"/>
      <c r="B966" s="17"/>
      <c r="C966" s="17"/>
      <c r="D966" s="23"/>
      <c r="E966" s="38"/>
      <c r="F966" s="35"/>
      <c r="G966" s="22"/>
      <c r="H966" s="23"/>
      <c r="I966" s="17"/>
      <c r="J966" s="23"/>
      <c r="K966" s="23"/>
      <c r="L966" s="23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</row>
    <row r="967">
      <c r="A967" s="17"/>
      <c r="B967" s="17"/>
      <c r="C967" s="17"/>
      <c r="D967" s="23"/>
      <c r="E967" s="38"/>
      <c r="F967" s="35"/>
      <c r="G967" s="22"/>
      <c r="H967" s="23"/>
      <c r="I967" s="17"/>
      <c r="J967" s="23"/>
      <c r="K967" s="23"/>
      <c r="L967" s="23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</row>
    <row r="968">
      <c r="A968" s="17"/>
      <c r="B968" s="17"/>
      <c r="C968" s="17"/>
      <c r="D968" s="23"/>
      <c r="E968" s="38"/>
      <c r="F968" s="35"/>
      <c r="G968" s="22"/>
      <c r="H968" s="23"/>
      <c r="I968" s="17"/>
      <c r="J968" s="23"/>
      <c r="K968" s="23"/>
      <c r="L968" s="23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</row>
    <row r="969">
      <c r="A969" s="17"/>
      <c r="B969" s="17"/>
      <c r="C969" s="17"/>
      <c r="D969" s="23"/>
      <c r="E969" s="38"/>
      <c r="F969" s="35"/>
      <c r="G969" s="22"/>
      <c r="H969" s="23"/>
      <c r="I969" s="17"/>
      <c r="J969" s="23"/>
      <c r="K969" s="23"/>
      <c r="L969" s="23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</row>
    <row r="970">
      <c r="A970" s="17"/>
      <c r="B970" s="17"/>
      <c r="C970" s="17"/>
      <c r="D970" s="23"/>
      <c r="E970" s="38"/>
      <c r="F970" s="35"/>
      <c r="G970" s="22"/>
      <c r="H970" s="23"/>
      <c r="I970" s="17"/>
      <c r="J970" s="23"/>
      <c r="K970" s="23"/>
      <c r="L970" s="23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</row>
    <row r="971">
      <c r="A971" s="17"/>
      <c r="B971" s="17"/>
      <c r="C971" s="17"/>
      <c r="D971" s="23"/>
      <c r="E971" s="38"/>
      <c r="F971" s="35"/>
      <c r="G971" s="22"/>
      <c r="H971" s="23"/>
      <c r="I971" s="17"/>
      <c r="J971" s="23"/>
      <c r="K971" s="23"/>
      <c r="L971" s="23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</row>
    <row r="972">
      <c r="A972" s="17"/>
      <c r="B972" s="17"/>
      <c r="C972" s="17"/>
      <c r="D972" s="23"/>
      <c r="E972" s="38"/>
      <c r="F972" s="35"/>
      <c r="G972" s="22"/>
      <c r="H972" s="23"/>
      <c r="I972" s="17"/>
      <c r="J972" s="23"/>
      <c r="K972" s="23"/>
      <c r="L972" s="23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</row>
    <row r="973">
      <c r="A973" s="17"/>
      <c r="B973" s="17"/>
      <c r="C973" s="17"/>
      <c r="D973" s="23"/>
      <c r="E973" s="38"/>
      <c r="F973" s="35"/>
      <c r="G973" s="22"/>
      <c r="H973" s="23"/>
      <c r="I973" s="17"/>
      <c r="J973" s="23"/>
      <c r="K973" s="23"/>
      <c r="L973" s="23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</row>
    <row r="974">
      <c r="A974" s="17"/>
      <c r="B974" s="17"/>
      <c r="C974" s="17"/>
      <c r="D974" s="23"/>
      <c r="E974" s="38"/>
      <c r="F974" s="35"/>
      <c r="G974" s="22"/>
      <c r="H974" s="23"/>
      <c r="I974" s="17"/>
      <c r="J974" s="23"/>
      <c r="K974" s="23"/>
      <c r="L974" s="23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</row>
    <row r="975">
      <c r="A975" s="17"/>
      <c r="B975" s="17"/>
      <c r="C975" s="17"/>
      <c r="D975" s="23"/>
      <c r="E975" s="38"/>
      <c r="F975" s="35"/>
      <c r="G975" s="22"/>
      <c r="H975" s="23"/>
      <c r="I975" s="17"/>
      <c r="J975" s="23"/>
      <c r="K975" s="23"/>
      <c r="L975" s="23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</row>
    <row r="976">
      <c r="A976" s="17"/>
      <c r="B976" s="17"/>
      <c r="C976" s="17"/>
      <c r="D976" s="23"/>
      <c r="E976" s="38"/>
      <c r="F976" s="35"/>
      <c r="G976" s="22"/>
      <c r="H976" s="23"/>
      <c r="I976" s="17"/>
      <c r="J976" s="23"/>
      <c r="K976" s="23"/>
      <c r="L976" s="23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</row>
    <row r="977">
      <c r="A977" s="17"/>
      <c r="B977" s="17"/>
      <c r="C977" s="17"/>
      <c r="D977" s="23"/>
      <c r="E977" s="38"/>
      <c r="F977" s="35"/>
      <c r="G977" s="22"/>
      <c r="H977" s="23"/>
      <c r="I977" s="17"/>
      <c r="J977" s="23"/>
      <c r="K977" s="23"/>
      <c r="L977" s="23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</row>
    <row r="978">
      <c r="A978" s="17"/>
      <c r="B978" s="17"/>
      <c r="C978" s="17"/>
      <c r="D978" s="23"/>
      <c r="E978" s="38"/>
      <c r="F978" s="35"/>
      <c r="G978" s="22"/>
      <c r="H978" s="23"/>
      <c r="I978" s="17"/>
      <c r="J978" s="23"/>
      <c r="K978" s="23"/>
      <c r="L978" s="23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</row>
    <row r="979">
      <c r="A979" s="17"/>
      <c r="B979" s="17"/>
      <c r="C979" s="17"/>
      <c r="D979" s="23"/>
      <c r="E979" s="38"/>
      <c r="F979" s="35"/>
      <c r="G979" s="22"/>
      <c r="H979" s="23"/>
      <c r="I979" s="17"/>
      <c r="J979" s="23"/>
      <c r="K979" s="23"/>
      <c r="L979" s="23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</row>
    <row r="980">
      <c r="A980" s="17"/>
      <c r="B980" s="17"/>
      <c r="C980" s="17"/>
      <c r="D980" s="23"/>
      <c r="E980" s="38"/>
      <c r="F980" s="35"/>
      <c r="G980" s="22"/>
      <c r="H980" s="23"/>
      <c r="I980" s="17"/>
      <c r="J980" s="23"/>
      <c r="K980" s="23"/>
      <c r="L980" s="23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</row>
    <row r="981">
      <c r="A981" s="17"/>
      <c r="B981" s="17"/>
      <c r="C981" s="17"/>
      <c r="D981" s="23"/>
      <c r="E981" s="38"/>
      <c r="F981" s="35"/>
      <c r="G981" s="22"/>
      <c r="H981" s="23"/>
      <c r="I981" s="17"/>
      <c r="J981" s="23"/>
      <c r="K981" s="23"/>
      <c r="L981" s="23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</row>
    <row r="982">
      <c r="A982" s="17"/>
      <c r="B982" s="17"/>
      <c r="C982" s="17"/>
      <c r="D982" s="23"/>
      <c r="E982" s="38"/>
      <c r="F982" s="35"/>
      <c r="G982" s="22"/>
      <c r="H982" s="23"/>
      <c r="I982" s="17"/>
      <c r="J982" s="23"/>
      <c r="K982" s="23"/>
      <c r="L982" s="23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</row>
    <row r="983">
      <c r="A983" s="17"/>
      <c r="B983" s="17"/>
      <c r="C983" s="17"/>
      <c r="D983" s="23"/>
      <c r="E983" s="38"/>
      <c r="F983" s="35"/>
      <c r="G983" s="22"/>
      <c r="H983" s="23"/>
      <c r="I983" s="17"/>
      <c r="J983" s="23"/>
      <c r="K983" s="23"/>
      <c r="L983" s="23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</row>
    <row r="984">
      <c r="A984" s="17"/>
      <c r="B984" s="17"/>
      <c r="C984" s="17"/>
      <c r="D984" s="23"/>
      <c r="E984" s="38"/>
      <c r="F984" s="35"/>
      <c r="G984" s="22"/>
      <c r="H984" s="23"/>
      <c r="I984" s="17"/>
      <c r="J984" s="23"/>
      <c r="K984" s="23"/>
      <c r="L984" s="23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</row>
    <row r="985">
      <c r="A985" s="17"/>
      <c r="B985" s="17"/>
      <c r="C985" s="17"/>
      <c r="D985" s="23"/>
      <c r="E985" s="38"/>
      <c r="F985" s="35"/>
      <c r="G985" s="22"/>
      <c r="H985" s="23"/>
      <c r="I985" s="17"/>
      <c r="J985" s="23"/>
      <c r="K985" s="23"/>
      <c r="L985" s="23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</row>
    <row r="986">
      <c r="A986" s="17"/>
      <c r="B986" s="17"/>
      <c r="C986" s="17"/>
      <c r="D986" s="23"/>
      <c r="E986" s="38"/>
      <c r="F986" s="35"/>
      <c r="G986" s="22"/>
      <c r="H986" s="23"/>
      <c r="I986" s="17"/>
      <c r="J986" s="23"/>
      <c r="K986" s="23"/>
      <c r="L986" s="23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</row>
    <row r="987">
      <c r="A987" s="17"/>
      <c r="B987" s="17"/>
      <c r="C987" s="17"/>
      <c r="D987" s="23"/>
      <c r="E987" s="38"/>
      <c r="F987" s="35"/>
      <c r="G987" s="22"/>
      <c r="H987" s="23"/>
      <c r="I987" s="17"/>
      <c r="J987" s="23"/>
      <c r="K987" s="23"/>
      <c r="L987" s="23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</row>
    <row r="988">
      <c r="A988" s="17"/>
      <c r="B988" s="17"/>
      <c r="C988" s="17"/>
      <c r="D988" s="23"/>
      <c r="E988" s="38"/>
      <c r="F988" s="35"/>
      <c r="G988" s="22"/>
      <c r="H988" s="23"/>
      <c r="I988" s="17"/>
      <c r="J988" s="23"/>
      <c r="K988" s="23"/>
      <c r="L988" s="23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</row>
    <row r="989">
      <c r="A989" s="17"/>
      <c r="B989" s="17"/>
      <c r="C989" s="17"/>
      <c r="D989" s="23"/>
      <c r="E989" s="38"/>
      <c r="F989" s="35"/>
      <c r="G989" s="22"/>
      <c r="H989" s="23"/>
      <c r="I989" s="17"/>
      <c r="J989" s="23"/>
      <c r="K989" s="23"/>
      <c r="L989" s="23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</row>
    <row r="990">
      <c r="A990" s="17"/>
      <c r="B990" s="17"/>
      <c r="C990" s="17"/>
      <c r="D990" s="23"/>
      <c r="E990" s="38"/>
      <c r="F990" s="35"/>
      <c r="G990" s="22"/>
      <c r="H990" s="23"/>
      <c r="I990" s="17"/>
      <c r="J990" s="23"/>
      <c r="K990" s="23"/>
      <c r="L990" s="23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</row>
    <row r="991">
      <c r="A991" s="17"/>
      <c r="B991" s="17"/>
      <c r="C991" s="17"/>
      <c r="D991" s="23"/>
      <c r="E991" s="38"/>
      <c r="F991" s="35"/>
      <c r="G991" s="22"/>
      <c r="H991" s="23"/>
      <c r="I991" s="17"/>
      <c r="J991" s="23"/>
      <c r="K991" s="23"/>
      <c r="L991" s="23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</row>
    <row r="992">
      <c r="A992" s="17"/>
      <c r="B992" s="17"/>
      <c r="C992" s="17"/>
      <c r="D992" s="23"/>
      <c r="E992" s="38"/>
      <c r="F992" s="35"/>
      <c r="G992" s="22"/>
      <c r="H992" s="23"/>
      <c r="I992" s="17"/>
      <c r="J992" s="23"/>
      <c r="K992" s="23"/>
      <c r="L992" s="23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</row>
    <row r="993">
      <c r="A993" s="17"/>
      <c r="B993" s="17"/>
      <c r="C993" s="17"/>
      <c r="D993" s="23"/>
      <c r="E993" s="38"/>
      <c r="F993" s="35"/>
      <c r="G993" s="22"/>
      <c r="H993" s="23"/>
      <c r="I993" s="17"/>
      <c r="J993" s="23"/>
      <c r="K993" s="23"/>
      <c r="L993" s="23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</row>
    <row r="994">
      <c r="A994" s="17"/>
      <c r="B994" s="17"/>
      <c r="C994" s="17"/>
      <c r="D994" s="23"/>
      <c r="E994" s="38"/>
      <c r="F994" s="35"/>
      <c r="G994" s="22"/>
      <c r="H994" s="23"/>
      <c r="I994" s="17"/>
      <c r="J994" s="23"/>
      <c r="K994" s="23"/>
      <c r="L994" s="23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</row>
    <row r="995">
      <c r="A995" s="17"/>
      <c r="B995" s="17"/>
      <c r="C995" s="17"/>
      <c r="D995" s="23"/>
      <c r="E995" s="38"/>
      <c r="F995" s="35"/>
      <c r="G995" s="22"/>
      <c r="H995" s="23"/>
      <c r="I995" s="17"/>
      <c r="J995" s="23"/>
      <c r="K995" s="23"/>
      <c r="L995" s="23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</row>
    <row r="996">
      <c r="A996" s="17"/>
      <c r="B996" s="17"/>
      <c r="C996" s="17"/>
      <c r="D996" s="23"/>
      <c r="E996" s="38"/>
      <c r="F996" s="35"/>
      <c r="G996" s="22"/>
      <c r="H996" s="23"/>
      <c r="I996" s="17"/>
      <c r="J996" s="23"/>
      <c r="K996" s="23"/>
      <c r="L996" s="23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</row>
    <row r="997">
      <c r="A997" s="17"/>
      <c r="B997" s="17"/>
      <c r="C997" s="17"/>
      <c r="D997" s="23"/>
      <c r="E997" s="38"/>
      <c r="F997" s="35"/>
      <c r="G997" s="22"/>
      <c r="H997" s="23"/>
      <c r="I997" s="17"/>
      <c r="J997" s="23"/>
      <c r="K997" s="23"/>
      <c r="L997" s="23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</row>
    <row r="998">
      <c r="A998" s="17"/>
      <c r="B998" s="17"/>
      <c r="C998" s="17"/>
      <c r="D998" s="23"/>
      <c r="E998" s="38"/>
      <c r="F998" s="35"/>
      <c r="G998" s="22"/>
      <c r="H998" s="23"/>
      <c r="I998" s="17"/>
      <c r="J998" s="23"/>
      <c r="K998" s="23"/>
      <c r="L998" s="23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</row>
    <row r="999">
      <c r="A999" s="17"/>
      <c r="B999" s="17"/>
      <c r="C999" s="17"/>
      <c r="D999" s="23"/>
      <c r="E999" s="38"/>
      <c r="F999" s="35"/>
      <c r="G999" s="22"/>
      <c r="H999" s="23"/>
      <c r="I999" s="17"/>
      <c r="J999" s="23"/>
      <c r="K999" s="23"/>
      <c r="L999" s="23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</row>
    <row r="1000">
      <c r="A1000" s="17"/>
      <c r="B1000" s="17"/>
      <c r="C1000" s="17"/>
      <c r="D1000" s="23"/>
      <c r="E1000" s="38"/>
      <c r="F1000" s="35"/>
      <c r="G1000" s="22"/>
      <c r="H1000" s="23"/>
      <c r="I1000" s="17"/>
      <c r="J1000" s="23"/>
      <c r="K1000" s="23"/>
      <c r="L1000" s="23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</row>
    <row r="1001">
      <c r="A1001" s="17"/>
      <c r="B1001" s="17"/>
      <c r="C1001" s="17"/>
      <c r="D1001" s="23"/>
      <c r="E1001" s="38"/>
      <c r="F1001" s="35"/>
      <c r="G1001" s="22"/>
      <c r="H1001" s="23"/>
      <c r="I1001" s="17"/>
      <c r="J1001" s="23"/>
      <c r="K1001" s="23"/>
      <c r="L1001" s="23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</row>
    <row r="1002">
      <c r="A1002" s="17"/>
      <c r="B1002" s="17"/>
      <c r="C1002" s="17"/>
      <c r="D1002" s="17"/>
      <c r="E1002" s="25"/>
      <c r="F1002" s="26"/>
      <c r="G1002" s="27"/>
      <c r="H1002" s="17"/>
      <c r="I1002" s="17"/>
      <c r="J1002" s="23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3.0"/>
    <col customWidth="1" min="3" max="3" width="18.13"/>
    <col customWidth="1" min="4" max="4" width="3.0"/>
    <col customWidth="1" min="5" max="5" width="32.25"/>
    <col customWidth="1" min="6" max="6" width="3.0"/>
    <col customWidth="1" min="7" max="7" width="17.5"/>
    <col customWidth="1" min="8" max="8" width="3.0"/>
    <col customWidth="1" min="9" max="9" width="16.63"/>
    <col customWidth="1" min="10" max="10" width="3.0"/>
    <col customWidth="1" min="11" max="11" width="23.5"/>
    <col customWidth="1" min="12" max="12" width="3.0"/>
    <col customWidth="1" min="13" max="13" width="20.88"/>
    <col customWidth="1" min="14" max="14" width="3.0"/>
    <col customWidth="1" min="15" max="15" width="19.75"/>
    <col customWidth="1" min="16" max="16" width="3.0"/>
    <col customWidth="1" min="17" max="17" width="32.13"/>
    <col customWidth="1" min="18" max="18" width="3.0"/>
    <col customWidth="1" min="19" max="19" width="30.63"/>
    <col customWidth="1" min="20" max="20" width="3.0"/>
    <col customWidth="1" min="21" max="21" width="22.38"/>
    <col customWidth="1" min="23" max="23" width="3.25"/>
    <col customWidth="1" min="25" max="25" width="28.5"/>
  </cols>
  <sheetData>
    <row r="1">
      <c r="A1" s="17" t="str">
        <f>IFERROR(__xludf.DUMMYFUNCTION("SORT(UNIQUE(FILTER('KODE+STANDAR PORSI'!C:C,'KODE+STANDAR PORSI'!B:B='KODE+STANDAR PORSI'!B3)))"),"Nasi Daun Jeruk (Beras Premium)")</f>
        <v>Nasi Daun Jeruk (Beras Premium)</v>
      </c>
      <c r="B1" s="17"/>
      <c r="C1" s="17" t="str">
        <f>IFERROR(__xludf.DUMMYFUNCTION("SORT(UNIQUE(FILTER('KODE+STANDAR PORSI'!C:C,'KODE+STANDAR PORSI'!B:B='KODE+STANDAR PORSI'!B13)))"),"Ayam Kecap")</f>
        <v>Ayam Kecap</v>
      </c>
      <c r="D1" s="17"/>
      <c r="E1" s="17" t="str">
        <f>IFERROR(__xludf.DUMMYFUNCTION("SORT(UNIQUE(FILTER('KODE+STANDAR PORSI'!C:C,'KODE+STANDAR PORSI'!B:B='KODE+STANDAR PORSI'!B19)))"),"Ayam Fillet Saus Barbeque")</f>
        <v>Ayam Fillet Saus Barbeque</v>
      </c>
      <c r="F1" s="17"/>
      <c r="G1" s="17" t="str">
        <f>IFERROR(__xludf.DUMMYFUNCTION("SORT(UNIQUE(FILTER('KODE+STANDAR PORSI'!C:C,'KODE+STANDAR PORSI'!B:B='KODE+STANDAR PORSI'!B25)))"),"Balado Telur")</f>
        <v>Balado Telur</v>
      </c>
      <c r="H1" s="17"/>
      <c r="I1" s="17" t="str">
        <f>IFERROR(__xludf.DUMMYFUNCTION("SORT(UNIQUE(FILTER('KODE+STANDAR PORSI'!C:C,'KODE+STANDAR PORSI'!B:B='KODE+STANDAR PORSI'!B30)))"),"Beef Slice Barbeque")</f>
        <v>Beef Slice Barbeque</v>
      </c>
      <c r="J1" s="17"/>
      <c r="K1" s="17" t="str">
        <f>IFERROR(__xludf.DUMMYFUNCTION("SORT(UNIQUE(FILTER('KODE+STANDAR PORSI'!C:C,'KODE+STANDAR PORSI'!B:B='KODE+STANDAR PORSI'!B34)))"),"Lele Fillet Crispy")</f>
        <v>Lele Fillet Crispy</v>
      </c>
      <c r="L1" s="17"/>
      <c r="M1" s="17" t="str">
        <f>IFERROR(__xludf.DUMMYFUNCTION("SORT(UNIQUE(FILTER('KODE+STANDAR PORSI'!C:C,'KODE+STANDAR PORSI'!B:B='KODE+STANDAR PORSI'!B38)))"),"Tahu Fantasy")</f>
        <v>Tahu Fantasy</v>
      </c>
      <c r="N1" s="17"/>
      <c r="O1" s="17" t="str">
        <f>IFERROR(__xludf.DUMMYFUNCTION("SORT(UNIQUE(FILTER('KODE+STANDAR PORSI'!C:C,'KODE+STANDAR PORSI'!B:B='KODE+STANDAR PORSI'!B41)))"),"Kering Tempe")</f>
        <v>Kering Tempe</v>
      </c>
      <c r="P1" s="17"/>
      <c r="Q1" s="17" t="str">
        <f>IFERROR(__xludf.DUMMYFUNCTION("SORT(UNIQUE(FILTER('KODE+STANDAR PORSI'!C:C,'KODE+STANDAR PORSI'!B:B='KODE+STANDAR PORSI'!B44)))"),"Edamame")</f>
        <v>Edamame</v>
      </c>
      <c r="R1" s="17"/>
      <c r="S1" s="17" t="str">
        <f>IFERROR(__xludf.DUMMYFUNCTION("SORT(UNIQUE(FILTER('KODE+STANDAR PORSI'!C:C,'KODE+STANDAR PORSI'!B:B='KODE+STANDAR PORSI'!B47)))"),"Acar Bening Mentimun Wortel")</f>
        <v>Acar Bening Mentimun Wortel</v>
      </c>
      <c r="T1" s="17"/>
      <c r="U1" s="17" t="str">
        <f>IFERROR(__xludf.DUMMYFUNCTION("SORT(UNIQUE(FILTER('KODE+STANDAR PORSI'!C:C,'KODE+STANDAR PORSI'!B:B='KODE+STANDAR PORSI'!B73)))"),"Anggur Merah Australia")</f>
        <v>Anggur Merah Australia</v>
      </c>
      <c r="V1" s="17"/>
      <c r="W1" s="39"/>
      <c r="X1" s="17"/>
      <c r="Y1" s="40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</row>
    <row r="2">
      <c r="A2" s="17" t="str">
        <f>IFERROR(__xludf.DUMMYFUNCTION("""COMPUTED_VALUE"""),"Nasi Daun Jeruk (Beras)")</f>
        <v>Nasi Daun Jeruk (Beras)</v>
      </c>
      <c r="B2" s="17"/>
      <c r="C2" s="17" t="str">
        <f>IFERROR(__xludf.DUMMYFUNCTION("""COMPUTED_VALUE"""),"Ayam Kentucky")</f>
        <v>Ayam Kentucky</v>
      </c>
      <c r="D2" s="17"/>
      <c r="E2" s="17" t="str">
        <f>IFERROR(__xludf.DUMMYFUNCTION("""COMPUTED_VALUE"""),"Ayam Fillet Saus Mentega")</f>
        <v>Ayam Fillet Saus Mentega</v>
      </c>
      <c r="F2" s="17"/>
      <c r="G2" s="17" t="str">
        <f>IFERROR(__xludf.DUMMYFUNCTION("""COMPUTED_VALUE"""),"Semur Telur")</f>
        <v>Semur Telur</v>
      </c>
      <c r="H2" s="17"/>
      <c r="I2" s="17" t="str">
        <f>IFERROR(__xludf.DUMMYFUNCTION("""COMPUTED_VALUE"""),"Krecek Daging")</f>
        <v>Krecek Daging</v>
      </c>
      <c r="J2" s="17"/>
      <c r="K2" s="17" t="str">
        <f>IFERROR(__xludf.DUMMYFUNCTION("""COMPUTED_VALUE"""),"Pesmol Nila")</f>
        <v>Pesmol Nila</v>
      </c>
      <c r="L2" s="17"/>
      <c r="M2" s="17" t="str">
        <f>IFERROR(__xludf.DUMMYFUNCTION("""COMPUTED_VALUE"""),"Tahu Goreng")</f>
        <v>Tahu Goreng</v>
      </c>
      <c r="N2" s="17"/>
      <c r="O2" s="17" t="str">
        <f>IFERROR(__xludf.DUMMYFUNCTION("""COMPUTED_VALUE"""),"Tempe Goreng")</f>
        <v>Tempe Goreng</v>
      </c>
      <c r="P2" s="17"/>
      <c r="Q2" s="17" t="str">
        <f>IFERROR(__xludf.DUMMYFUNCTION("""COMPUTED_VALUE"""),"Susu UHT Cimory Full Cream 125 ml")</f>
        <v>Susu UHT Cimory Full Cream 125 ml</v>
      </c>
      <c r="R2" s="17"/>
      <c r="S2" s="17" t="str">
        <f>IFERROR(__xludf.DUMMYFUNCTION("""COMPUTED_VALUE"""),"Acar Kuning Buncis")</f>
        <v>Acar Kuning Buncis</v>
      </c>
      <c r="T2" s="17"/>
      <c r="U2" s="17" t="str">
        <f>IFERROR(__xludf.DUMMYFUNCTION("""COMPUTED_VALUE"""),"Apel Fuji (Uk 125)")</f>
        <v>Apel Fuji (Uk 125)</v>
      </c>
      <c r="V2" s="17"/>
      <c r="W2" s="39"/>
      <c r="X2" s="17"/>
      <c r="Y2" s="40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</row>
    <row r="3">
      <c r="A3" s="17" t="str">
        <f>IFERROR(__xludf.DUMMYFUNCTION("""COMPUTED_VALUE"""),"Nasi Kuning (Beras Premium)")</f>
        <v>Nasi Kuning (Beras Premium)</v>
      </c>
      <c r="B3" s="17"/>
      <c r="C3" s="17" t="str">
        <f>IFERROR(__xludf.DUMMYFUNCTION("""COMPUTED_VALUE"""),"Ayam Kremes")</f>
        <v>Ayam Kremes</v>
      </c>
      <c r="D3" s="17"/>
      <c r="E3" s="17" t="str">
        <f>IFERROR(__xludf.DUMMYFUNCTION("""COMPUTED_VALUE"""),"Ayam Fillet Saus Teriyaki")</f>
        <v>Ayam Fillet Saus Teriyaki</v>
      </c>
      <c r="F3" s="17"/>
      <c r="G3" s="17" t="str">
        <f>IFERROR(__xludf.DUMMYFUNCTION("""COMPUTED_VALUE"""),"Telur Ceplok")</f>
        <v>Telur Ceplok</v>
      </c>
      <c r="H3" s="17"/>
      <c r="I3" s="17" t="str">
        <f>IFERROR(__xludf.DUMMYFUNCTION("""COMPUTED_VALUE"""),"Rendang Daging")</f>
        <v>Rendang Daging</v>
      </c>
      <c r="J3" s="17"/>
      <c r="K3" s="17" t="str">
        <f>IFERROR(__xludf.DUMMYFUNCTION("""COMPUTED_VALUE"""),"Tuna Suwir Bumbu Kuning")</f>
        <v>Tuna Suwir Bumbu Kuning</v>
      </c>
      <c r="L3" s="17"/>
      <c r="M3" s="17" t="str">
        <f>IFERROR(__xludf.DUMMYFUNCTION("""COMPUTED_VALUE"""),"Tahu Saus Asam Manis")</f>
        <v>Tahu Saus Asam Manis</v>
      </c>
      <c r="N3" s="17"/>
      <c r="O3" s="17" t="str">
        <f>IFERROR(__xludf.DUMMYFUNCTION("""COMPUTED_VALUE"""),"Tempe Goreng Tepung")</f>
        <v>Tempe Goreng Tepung</v>
      </c>
      <c r="P3" s="17"/>
      <c r="Q3" s="17" t="str">
        <f>IFERROR(__xludf.DUMMYFUNCTION("""COMPUTED_VALUE"""),"Susu UHT Ultra Full Cream 125 ml")</f>
        <v>Susu UHT Ultra Full Cream 125 ml</v>
      </c>
      <c r="R3" s="17"/>
      <c r="S3" s="17" t="str">
        <f>IFERROR(__xludf.DUMMYFUNCTION("""COMPUTED_VALUE"""),"Capcay")</f>
        <v>Capcay</v>
      </c>
      <c r="T3" s="17"/>
      <c r="U3" s="17" t="str">
        <f>IFERROR(__xludf.DUMMYFUNCTION("""COMPUTED_VALUE"""),"Apel Fuji (Uk 138)")</f>
        <v>Apel Fuji (Uk 138)</v>
      </c>
      <c r="V3" s="17"/>
      <c r="W3" s="39"/>
      <c r="X3" s="17"/>
      <c r="Y3" s="40" t="str">
        <f t="array" ref="Y3:AMX3">IF('STANDAR RESEP'!A3="", "", TRANSPOSE(INDIRECT(SUBSTITUTE(SUBSTITUTE(SUBSTITUTE('STANDAR RESEP'!A3, " ", "_"), "(", ""), ")", ""))))</f>
        <v>Nasi Daun Jeruk (Beras Premium)</v>
      </c>
      <c r="Z3" s="17" t="s">
        <v>14</v>
      </c>
      <c r="AA3" s="17" t="s">
        <v>17</v>
      </c>
      <c r="AB3" s="17" t="s">
        <v>18</v>
      </c>
      <c r="AC3" s="17" t="s">
        <v>15</v>
      </c>
      <c r="AD3" s="17" t="s">
        <v>16</v>
      </c>
      <c r="AE3" s="17" t="s">
        <v>9</v>
      </c>
      <c r="AF3" s="17" t="s">
        <v>11</v>
      </c>
      <c r="AG3" s="17" t="s">
        <v>19</v>
      </c>
      <c r="AH3" s="17" t="s">
        <v>20</v>
      </c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</row>
    <row r="4">
      <c r="A4" s="17" t="str">
        <f>IFERROR(__xludf.DUMMYFUNCTION("""COMPUTED_VALUE"""),"Nasi Kuning (Beras)")</f>
        <v>Nasi Kuning (Beras)</v>
      </c>
      <c r="B4" s="17"/>
      <c r="C4" s="17" t="str">
        <f>IFERROR(__xludf.DUMMYFUNCTION("""COMPUTED_VALUE"""),"Ayam Serundeng")</f>
        <v>Ayam Serundeng</v>
      </c>
      <c r="D4" s="17"/>
      <c r="E4" s="17" t="str">
        <f>IFERROR(__xludf.DUMMYFUNCTION("""COMPUTED_VALUE"""),"Ayam Suwir Kecap")</f>
        <v>Ayam Suwir Kecap</v>
      </c>
      <c r="F4" s="17"/>
      <c r="G4" s="17" t="str">
        <f>IFERROR(__xludf.DUMMYFUNCTION("""COMPUTED_VALUE"""),"Telur Dadar")</f>
        <v>Telur Dadar</v>
      </c>
      <c r="H4" s="17"/>
      <c r="I4" s="17" t="str">
        <f>IFERROR(__xludf.DUMMYFUNCTION("""COMPUTED_VALUE"""),"Semur Daging")</f>
        <v>Semur Daging</v>
      </c>
      <c r="J4" s="17"/>
      <c r="K4" s="17" t="str">
        <f>IFERROR(__xludf.DUMMYFUNCTION("""COMPUTED_VALUE"""),"Tuna Suwir Bumbu Rica")</f>
        <v>Tuna Suwir Bumbu Rica</v>
      </c>
      <c r="L4" s="17"/>
      <c r="M4" s="17"/>
      <c r="N4" s="17"/>
      <c r="O4" s="17"/>
      <c r="P4" s="17"/>
      <c r="Q4" s="17"/>
      <c r="R4" s="17"/>
      <c r="S4" s="17" t="str">
        <f>IFERROR(__xludf.DUMMYFUNCTION("""COMPUTED_VALUE"""),"Gulai Daun Singkong Nangka Muda")</f>
        <v>Gulai Daun Singkong Nangka Muda</v>
      </c>
      <c r="T4" s="17"/>
      <c r="U4" s="17" t="str">
        <f>IFERROR(__xludf.DUMMYFUNCTION("""COMPUTED_VALUE"""),"Jeruk Medan Brastagi")</f>
        <v>Jeruk Medan Brastagi</v>
      </c>
      <c r="V4" s="17"/>
      <c r="W4" s="39"/>
      <c r="X4" s="17"/>
      <c r="Y4" s="40" t="str">
        <f t="array" ref="Y4:AMX4">IF('STANDAR RESEP'!A4="", "", TRANSPOSE(INDIRECT(SUBSTITUTE(SUBSTITUTE(SUBSTITUTE('STANDAR RESEP'!A4, " ", "_"), "(", ""), ")", ""))))</f>
        <v>Nasi Daun Jeruk (Beras Premium)</v>
      </c>
      <c r="Z4" s="17" t="s">
        <v>14</v>
      </c>
      <c r="AA4" s="17" t="s">
        <v>17</v>
      </c>
      <c r="AB4" s="17" t="s">
        <v>18</v>
      </c>
      <c r="AC4" s="17" t="s">
        <v>15</v>
      </c>
      <c r="AD4" s="17" t="s">
        <v>16</v>
      </c>
      <c r="AE4" s="17" t="s">
        <v>9</v>
      </c>
      <c r="AF4" s="17" t="s">
        <v>11</v>
      </c>
      <c r="AG4" s="17" t="s">
        <v>19</v>
      </c>
      <c r="AH4" s="17" t="s">
        <v>20</v>
      </c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</row>
    <row r="5">
      <c r="A5" s="17" t="str">
        <f>IFERROR(__xludf.DUMMYFUNCTION("""COMPUTED_VALUE"""),"Nasi Liwet (Beras Premium)")</f>
        <v>Nasi Liwet (Beras Premium)</v>
      </c>
      <c r="B5" s="17"/>
      <c r="C5" s="17" t="str">
        <f>IFERROR(__xludf.DUMMYFUNCTION("""COMPUTED_VALUE"""),"Ayam Woku Kuning")</f>
        <v>Ayam Woku Kuning</v>
      </c>
      <c r="D5" s="17"/>
      <c r="E5" s="17" t="str">
        <f>IFERROR(__xludf.DUMMYFUNCTION("""COMPUTED_VALUE"""),"Ayam Suwir Kemangi Bumbu Kuning")</f>
        <v>Ayam Suwir Kemangi Bumbu Kuning</v>
      </c>
      <c r="F5" s="17"/>
      <c r="G5" s="17" t="str">
        <f>IFERROR(__xludf.DUMMYFUNCTION("""COMPUTED_VALUE"""),"Telur Dadar Padang")</f>
        <v>Telur Dadar Padang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 t="str">
        <f>IFERROR(__xludf.DUMMYFUNCTION("""COMPUTED_VALUE"""),"Lalap Mentimun")</f>
        <v>Lalap Mentimun</v>
      </c>
      <c r="T5" s="17"/>
      <c r="U5" s="17" t="str">
        <f>IFERROR(__xludf.DUMMYFUNCTION("""COMPUTED_VALUE"""),"Jeruk Medan Polos")</f>
        <v>Jeruk Medan Polos</v>
      </c>
      <c r="V5" s="17"/>
      <c r="W5" s="39"/>
      <c r="X5" s="17"/>
      <c r="Y5" s="40" t="str">
        <f t="array" ref="Y5:AMX5">IF('STANDAR RESEP'!A5="", "", TRANSPOSE(INDIRECT(SUBSTITUTE(SUBSTITUTE(SUBSTITUTE('STANDAR RESEP'!A5, " ", "_"), "(", ""), ")", ""))))</f>
        <v>Nasi Daun Jeruk (Beras Premium)</v>
      </c>
      <c r="Z5" s="17" t="s">
        <v>14</v>
      </c>
      <c r="AA5" s="17" t="s">
        <v>17</v>
      </c>
      <c r="AB5" s="17" t="s">
        <v>18</v>
      </c>
      <c r="AC5" s="17" t="s">
        <v>15</v>
      </c>
      <c r="AD5" s="17" t="s">
        <v>16</v>
      </c>
      <c r="AE5" s="17" t="s">
        <v>9</v>
      </c>
      <c r="AF5" s="17" t="s">
        <v>11</v>
      </c>
      <c r="AG5" s="17" t="s">
        <v>19</v>
      </c>
      <c r="AH5" s="17" t="s">
        <v>20</v>
      </c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</row>
    <row r="6">
      <c r="A6" s="17" t="str">
        <f>IFERROR(__xludf.DUMMYFUNCTION("""COMPUTED_VALUE"""),"Nasi Liwet (Beras)")</f>
        <v>Nasi Liwet (Beras)</v>
      </c>
      <c r="B6" s="17"/>
      <c r="C6" s="17" t="str">
        <f>IFERROR(__xludf.DUMMYFUNCTION("""COMPUTED_VALUE"""),"Kari Ayam Kental")</f>
        <v>Kari Ayam Kental</v>
      </c>
      <c r="D6" s="17"/>
      <c r="E6" s="17" t="str">
        <f>IFERROR(__xludf.DUMMYFUNCTION("""COMPUTED_VALUE"""),"Ayam Suwir Kemangi Bumbu Rica")</f>
        <v>Ayam Suwir Kemangi Bumbu Rica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 t="str">
        <f>IFERROR(__xludf.DUMMYFUNCTION("""COMPUTED_VALUE"""),"Lalap Selada Mentimun")</f>
        <v>Lalap Selada Mentimun</v>
      </c>
      <c r="T6" s="17"/>
      <c r="U6" s="17" t="str">
        <f>IFERROR(__xludf.DUMMYFUNCTION("""COMPUTED_VALUE"""),"Jeruk Pontianak")</f>
        <v>Jeruk Pontianak</v>
      </c>
      <c r="V6" s="17"/>
      <c r="W6" s="39"/>
      <c r="X6" s="17"/>
      <c r="Y6" s="40" t="str">
        <f t="array" ref="Y6:AMX6">IF('STANDAR RESEP'!A6="", "", TRANSPOSE(INDIRECT(SUBSTITUTE(SUBSTITUTE(SUBSTITUTE('STANDAR RESEP'!A6, " ", "_"), "(", ""), ")", ""))))</f>
        <v>Nasi Daun Jeruk (Beras Premium)</v>
      </c>
      <c r="Z6" s="17" t="s">
        <v>14</v>
      </c>
      <c r="AA6" s="17" t="s">
        <v>17</v>
      </c>
      <c r="AB6" s="17" t="s">
        <v>18</v>
      </c>
      <c r="AC6" s="17" t="s">
        <v>15</v>
      </c>
      <c r="AD6" s="17" t="s">
        <v>16</v>
      </c>
      <c r="AE6" s="17" t="s">
        <v>9</v>
      </c>
      <c r="AF6" s="17" t="s">
        <v>11</v>
      </c>
      <c r="AG6" s="17" t="s">
        <v>19</v>
      </c>
      <c r="AH6" s="17" t="s">
        <v>20</v>
      </c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</row>
    <row r="7">
      <c r="A7" s="17" t="str">
        <f>IFERROR(__xludf.DUMMYFUNCTION("""COMPUTED_VALUE"""),"Nasi Putih (Beras Premium)")</f>
        <v>Nasi Putih (Beras Premium)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 t="str">
        <f>IFERROR(__xludf.DUMMYFUNCTION("""COMPUTED_VALUE"""),"Tumis Bayam Jagung Pipil")</f>
        <v>Tumis Bayam Jagung Pipil</v>
      </c>
      <c r="T7" s="17"/>
      <c r="U7" s="17" t="str">
        <f>IFERROR(__xludf.DUMMYFUNCTION("""COMPUTED_VALUE"""),"Jeruk Sunkist Neval")</f>
        <v>Jeruk Sunkist Neval</v>
      </c>
      <c r="V7" s="17"/>
      <c r="W7" s="39"/>
      <c r="X7" s="17"/>
      <c r="Y7" s="40" t="str">
        <f t="array" ref="Y7:AMX7">IF('STANDAR RESEP'!A7="", "", TRANSPOSE(INDIRECT(SUBSTITUTE(SUBSTITUTE(SUBSTITUTE('STANDAR RESEP'!A7, " ", "_"), "(", ""), ")", ""))))</f>
        <v>Nasi Daun Jeruk (Beras Premium)</v>
      </c>
      <c r="Z7" s="17" t="s">
        <v>14</v>
      </c>
      <c r="AA7" s="17" t="s">
        <v>17</v>
      </c>
      <c r="AB7" s="17" t="s">
        <v>18</v>
      </c>
      <c r="AC7" s="17" t="s">
        <v>15</v>
      </c>
      <c r="AD7" s="17" t="s">
        <v>16</v>
      </c>
      <c r="AE7" s="17" t="s">
        <v>9</v>
      </c>
      <c r="AF7" s="17" t="s">
        <v>11</v>
      </c>
      <c r="AG7" s="17" t="s">
        <v>19</v>
      </c>
      <c r="AH7" s="17" t="s">
        <v>20</v>
      </c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</row>
    <row r="8">
      <c r="A8" s="17" t="str">
        <f>IFERROR(__xludf.DUMMYFUNCTION("""COMPUTED_VALUE"""),"Nasi Putih (Beras)")</f>
        <v>Nasi Putih (Beras)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 t="str">
        <f>IFERROR(__xludf.DUMMYFUNCTION("""COMPUTED_VALUE"""),"Tumis Buncis Wortel")</f>
        <v>Tumis Buncis Wortel</v>
      </c>
      <c r="T8" s="17"/>
      <c r="U8" s="17" t="str">
        <f>IFERROR(__xludf.DUMMYFUNCTION("""COMPUTED_VALUE"""),"Kelengkeng Stiker Biru")</f>
        <v>Kelengkeng Stiker Biru</v>
      </c>
      <c r="V8" s="17"/>
      <c r="W8" s="39"/>
      <c r="X8" s="17"/>
      <c r="Y8" s="40" t="str">
        <f t="array" ref="Y8:AMX8">IF('STANDAR RESEP'!A8="", "", TRANSPOSE(INDIRECT(SUBSTITUTE(SUBSTITUTE(SUBSTITUTE('STANDAR RESEP'!A8, " ", "_"), "(", ""), ")", ""))))</f>
        <v>Nasi Daun Jeruk (Beras Premium)</v>
      </c>
      <c r="Z8" s="17" t="s">
        <v>14</v>
      </c>
      <c r="AA8" s="17" t="s">
        <v>17</v>
      </c>
      <c r="AB8" s="17" t="s">
        <v>18</v>
      </c>
      <c r="AC8" s="17" t="s">
        <v>15</v>
      </c>
      <c r="AD8" s="17" t="s">
        <v>16</v>
      </c>
      <c r="AE8" s="17" t="s">
        <v>9</v>
      </c>
      <c r="AF8" s="17" t="s">
        <v>11</v>
      </c>
      <c r="AG8" s="17" t="s">
        <v>19</v>
      </c>
      <c r="AH8" s="17" t="s">
        <v>20</v>
      </c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</row>
    <row r="9">
      <c r="A9" s="17" t="str">
        <f>IFERROR(__xludf.DUMMYFUNCTION("""COMPUTED_VALUE"""),"Nasi Uduk (Beras Premium)")</f>
        <v>Nasi Uduk (Beras Premium)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 t="str">
        <f>IFERROR(__xludf.DUMMYFUNCTION("""COMPUTED_VALUE"""),"Tumis Kacang Panjang")</f>
        <v>Tumis Kacang Panjang</v>
      </c>
      <c r="T9" s="17"/>
      <c r="U9" s="17" t="str">
        <f>IFERROR(__xludf.DUMMYFUNCTION("""COMPUTED_VALUE"""),"Kelengkeng Stiker Merah")</f>
        <v>Kelengkeng Stiker Merah</v>
      </c>
      <c r="V9" s="17"/>
      <c r="W9" s="39"/>
      <c r="X9" s="17"/>
      <c r="Y9" s="40" t="str">
        <f t="array" ref="Y9:AMX9">IF('STANDAR RESEP'!A9="", "", TRANSPOSE(INDIRECT(SUBSTITUTE(SUBSTITUTE(SUBSTITUTE('STANDAR RESEP'!A9, " ", "_"), "(", ""), ")", ""))))</f>
        <v>Nasi Daun Jeruk (Beras Premium)</v>
      </c>
      <c r="Z9" s="17" t="s">
        <v>14</v>
      </c>
      <c r="AA9" s="17" t="s">
        <v>17</v>
      </c>
      <c r="AB9" s="17" t="s">
        <v>18</v>
      </c>
      <c r="AC9" s="17" t="s">
        <v>15</v>
      </c>
      <c r="AD9" s="17" t="s">
        <v>16</v>
      </c>
      <c r="AE9" s="17" t="s">
        <v>9</v>
      </c>
      <c r="AF9" s="17" t="s">
        <v>11</v>
      </c>
      <c r="AG9" s="17" t="s">
        <v>19</v>
      </c>
      <c r="AH9" s="17" t="s">
        <v>20</v>
      </c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</row>
    <row r="10">
      <c r="A10" s="17" t="str">
        <f>IFERROR(__xludf.DUMMYFUNCTION("""COMPUTED_VALUE"""),"Nasi Uduk (Beras)")</f>
        <v>Nasi Uduk (Beras)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 t="str">
        <f>IFERROR(__xludf.DUMMYFUNCTION("""COMPUTED_VALUE"""),"Tumis Kangkung")</f>
        <v>Tumis Kangkung</v>
      </c>
      <c r="T10" s="17"/>
      <c r="U10" s="17" t="str">
        <f>IFERROR(__xludf.DUMMYFUNCTION("""COMPUTED_VALUE"""),"Kurma Sukari")</f>
        <v>Kurma Sukari</v>
      </c>
      <c r="V10" s="17"/>
      <c r="W10" s="39"/>
      <c r="X10" s="17"/>
      <c r="Y10" s="40" t="str">
        <f t="array" ref="Y10:AMX10">IF('STANDAR RESEP'!A10="", "", TRANSPOSE(INDIRECT(SUBSTITUTE(SUBSTITUTE(SUBSTITUTE('STANDAR RESEP'!A10, " ", "_"), "(", ""), ")", ""))))</f>
        <v>Nasi Daun Jeruk (Beras Premium)</v>
      </c>
      <c r="Z10" s="17" t="s">
        <v>14</v>
      </c>
      <c r="AA10" s="17" t="s">
        <v>17</v>
      </c>
      <c r="AB10" s="17" t="s">
        <v>18</v>
      </c>
      <c r="AC10" s="17" t="s">
        <v>15</v>
      </c>
      <c r="AD10" s="17" t="s">
        <v>16</v>
      </c>
      <c r="AE10" s="17" t="s">
        <v>9</v>
      </c>
      <c r="AF10" s="17" t="s">
        <v>11</v>
      </c>
      <c r="AG10" s="17" t="s">
        <v>19</v>
      </c>
      <c r="AH10" s="17" t="s">
        <v>20</v>
      </c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 t="str">
        <f>IFERROR(__xludf.DUMMYFUNCTION("""COMPUTED_VALUE"""),"Tumis Kol Wortel")</f>
        <v>Tumis Kol Wortel</v>
      </c>
      <c r="T11" s="17"/>
      <c r="U11" s="17" t="str">
        <f>IFERROR(__xludf.DUMMYFUNCTION("""COMPUTED_VALUE"""),"Pear Century")</f>
        <v>Pear Century</v>
      </c>
      <c r="V11" s="17"/>
      <c r="W11" s="39"/>
      <c r="X11" s="17"/>
      <c r="Y11" s="40" t="str">
        <f t="array" ref="Y11:AMX11">IF('STANDAR RESEP'!A11="", "", TRANSPOSE(INDIRECT(SUBSTITUTE(SUBSTITUTE(SUBSTITUTE('STANDAR RESEP'!A11, " ", "_"), "(", ""), ")", ""))))</f>
        <v>Nasi Daun Jeruk (Beras Premium)</v>
      </c>
      <c r="Z11" s="17" t="s">
        <v>14</v>
      </c>
      <c r="AA11" s="17" t="s">
        <v>17</v>
      </c>
      <c r="AB11" s="17" t="s">
        <v>18</v>
      </c>
      <c r="AC11" s="17" t="s">
        <v>15</v>
      </c>
      <c r="AD11" s="17" t="s">
        <v>16</v>
      </c>
      <c r="AE11" s="17" t="s">
        <v>9</v>
      </c>
      <c r="AF11" s="17" t="s">
        <v>11</v>
      </c>
      <c r="AG11" s="17" t="s">
        <v>19</v>
      </c>
      <c r="AH11" s="17" t="s">
        <v>20</v>
      </c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 t="str">
        <f>IFERROR(__xludf.DUMMYFUNCTION("""COMPUTED_VALUE"""),"Tumis Labu Siam Wortel")</f>
        <v>Tumis Labu Siam Wortel</v>
      </c>
      <c r="T12" s="17"/>
      <c r="U12" s="17" t="str">
        <f>IFERROR(__xludf.DUMMYFUNCTION("""COMPUTED_VALUE"""),"Pisang Ambon")</f>
        <v>Pisang Ambon</v>
      </c>
      <c r="V12" s="17"/>
      <c r="W12" s="39"/>
      <c r="X12" s="17"/>
      <c r="Y12" s="40" t="str">
        <f t="array" ref="Y12:AMX12">IF('STANDAR RESEP'!A12="", "", TRANSPOSE(INDIRECT(SUBSTITUTE(SUBSTITUTE(SUBSTITUTE('STANDAR RESEP'!A12, " ", "_"), "(", ""), ")", ""))))</f>
        <v>Nasi Daun Jeruk (Beras Premium)</v>
      </c>
      <c r="Z12" s="17" t="s">
        <v>14</v>
      </c>
      <c r="AA12" s="17" t="s">
        <v>17</v>
      </c>
      <c r="AB12" s="17" t="s">
        <v>18</v>
      </c>
      <c r="AC12" s="17" t="s">
        <v>15</v>
      </c>
      <c r="AD12" s="17" t="s">
        <v>16</v>
      </c>
      <c r="AE12" s="17" t="s">
        <v>9</v>
      </c>
      <c r="AF12" s="17" t="s">
        <v>11</v>
      </c>
      <c r="AG12" s="17" t="s">
        <v>19</v>
      </c>
      <c r="AH12" s="17" t="s">
        <v>20</v>
      </c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 t="str">
        <f>IFERROR(__xludf.DUMMYFUNCTION("""COMPUTED_VALUE"""),"Tumis Sawi Putih Wortel")</f>
        <v>Tumis Sawi Putih Wortel</v>
      </c>
      <c r="T13" s="17"/>
      <c r="U13" s="17"/>
      <c r="V13" s="17"/>
      <c r="W13" s="39"/>
      <c r="X13" s="17"/>
      <c r="Y13" s="40" t="str">
        <f t="array" ref="Y13:AMX13">IF('STANDAR RESEP'!A13="", "", TRANSPOSE(INDIRECT(SUBSTITUTE(SUBSTITUTE(SUBSTITUTE('STANDAR RESEP'!A13, " ", "_"), "(", ""), ")", ""))))</f>
        <v>Nasi Daun Jeruk (Beras Premium)</v>
      </c>
      <c r="Z13" s="17" t="s">
        <v>14</v>
      </c>
      <c r="AA13" s="17" t="s">
        <v>17</v>
      </c>
      <c r="AB13" s="17" t="s">
        <v>18</v>
      </c>
      <c r="AC13" s="17" t="s">
        <v>15</v>
      </c>
      <c r="AD13" s="17" t="s">
        <v>16</v>
      </c>
      <c r="AE13" s="17" t="s">
        <v>9</v>
      </c>
      <c r="AF13" s="17" t="s">
        <v>11</v>
      </c>
      <c r="AG13" s="17" t="s">
        <v>19</v>
      </c>
      <c r="AH13" s="17" t="s">
        <v>20</v>
      </c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 t="str">
        <f>IFERROR(__xludf.DUMMYFUNCTION("""COMPUTED_VALUE"""),"Tumis Wortel Jagung Pipil")</f>
        <v>Tumis Wortel Jagung Pipil</v>
      </c>
      <c r="T14" s="17"/>
      <c r="U14" s="17"/>
      <c r="V14" s="17"/>
      <c r="W14" s="39"/>
      <c r="X14" s="17"/>
      <c r="Y14" s="40" t="str">
        <f t="array" ref="Y14:AMX14">IF('STANDAR RESEP'!A14="", "", TRANSPOSE(INDIRECT(SUBSTITUTE(SUBSTITUTE(SUBSTITUTE('STANDAR RESEP'!A14, " ", "_"), "(", ""), ")", ""))))</f>
        <v>Nasi Daun Jeruk (Beras Premium)</v>
      </c>
      <c r="Z14" s="17" t="s">
        <v>14</v>
      </c>
      <c r="AA14" s="17" t="s">
        <v>17</v>
      </c>
      <c r="AB14" s="17" t="s">
        <v>18</v>
      </c>
      <c r="AC14" s="17" t="s">
        <v>15</v>
      </c>
      <c r="AD14" s="17" t="s">
        <v>16</v>
      </c>
      <c r="AE14" s="17" t="s">
        <v>9</v>
      </c>
      <c r="AF14" s="17" t="s">
        <v>11</v>
      </c>
      <c r="AG14" s="17" t="s">
        <v>19</v>
      </c>
      <c r="AH14" s="17" t="s">
        <v>20</v>
      </c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39"/>
      <c r="X15" s="17"/>
      <c r="Y15" s="40" t="str">
        <f t="array" ref="Y15:AMX15">IF('STANDAR RESEP'!A15="", "", TRANSPOSE(INDIRECT(SUBSTITUTE(SUBSTITUTE(SUBSTITUTE('STANDAR RESEP'!A15, " ", "_"), "(", ""), ")", ""))))</f>
        <v>Nasi Daun Jeruk (Beras Premium)</v>
      </c>
      <c r="Z15" s="17" t="s">
        <v>14</v>
      </c>
      <c r="AA15" s="17" t="s">
        <v>17</v>
      </c>
      <c r="AB15" s="17" t="s">
        <v>18</v>
      </c>
      <c r="AC15" s="17" t="s">
        <v>15</v>
      </c>
      <c r="AD15" s="17" t="s">
        <v>16</v>
      </c>
      <c r="AE15" s="17" t="s">
        <v>9</v>
      </c>
      <c r="AF15" s="17" t="s">
        <v>11</v>
      </c>
      <c r="AG15" s="17" t="s">
        <v>19</v>
      </c>
      <c r="AH15" s="17" t="s">
        <v>20</v>
      </c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39"/>
      <c r="X16" s="17"/>
      <c r="Y16" s="40" t="str">
        <f t="array" ref="Y16:AMX16">IF('STANDAR RESEP'!A16="", "", TRANSPOSE(INDIRECT(SUBSTITUTE(SUBSTITUTE(SUBSTITUTE('STANDAR RESEP'!A16, " ", "_"), "(", ""), ")", ""))))</f>
        <v>Nasi Daun Jeruk (Beras Premium)</v>
      </c>
      <c r="Z16" s="17" t="s">
        <v>14</v>
      </c>
      <c r="AA16" s="17" t="s">
        <v>17</v>
      </c>
      <c r="AB16" s="17" t="s">
        <v>18</v>
      </c>
      <c r="AC16" s="17" t="s">
        <v>15</v>
      </c>
      <c r="AD16" s="17" t="s">
        <v>16</v>
      </c>
      <c r="AE16" s="17" t="s">
        <v>9</v>
      </c>
      <c r="AF16" s="17" t="s">
        <v>11</v>
      </c>
      <c r="AG16" s="17" t="s">
        <v>19</v>
      </c>
      <c r="AH16" s="17" t="s">
        <v>20</v>
      </c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39"/>
      <c r="X17" s="17"/>
      <c r="Y17" s="40" t="str">
        <f t="array" ref="Y17:AMX17">IF('STANDAR RESEP'!A17="", "", TRANSPOSE(INDIRECT(SUBSTITUTE(SUBSTITUTE(SUBSTITUTE('STANDAR RESEP'!A17, " ", "_"), "(", ""), ")", ""))))</f>
        <v>Nasi Daun Jeruk (Beras Premium)</v>
      </c>
      <c r="Z17" s="17" t="s">
        <v>14</v>
      </c>
      <c r="AA17" s="17" t="s">
        <v>17</v>
      </c>
      <c r="AB17" s="17" t="s">
        <v>18</v>
      </c>
      <c r="AC17" s="17" t="s">
        <v>15</v>
      </c>
      <c r="AD17" s="17" t="s">
        <v>16</v>
      </c>
      <c r="AE17" s="17" t="s">
        <v>9</v>
      </c>
      <c r="AF17" s="17" t="s">
        <v>11</v>
      </c>
      <c r="AG17" s="17" t="s">
        <v>19</v>
      </c>
      <c r="AH17" s="17" t="s">
        <v>20</v>
      </c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39"/>
      <c r="X18" s="17"/>
      <c r="Y18" s="40" t="str">
        <f t="array" ref="Y18:AMX18">IF('STANDAR RESEP'!A18="", "", TRANSPOSE(INDIRECT(SUBSTITUTE(SUBSTITUTE(SUBSTITUTE('STANDAR RESEP'!A18, " ", "_"), "(", ""), ")", ""))))</f>
        <v>Nasi Daun Jeruk (Beras Premium)</v>
      </c>
      <c r="Z18" s="17" t="s">
        <v>14</v>
      </c>
      <c r="AA18" s="17" t="s">
        <v>17</v>
      </c>
      <c r="AB18" s="17" t="s">
        <v>18</v>
      </c>
      <c r="AC18" s="17" t="s">
        <v>15</v>
      </c>
      <c r="AD18" s="17" t="s">
        <v>16</v>
      </c>
      <c r="AE18" s="17" t="s">
        <v>9</v>
      </c>
      <c r="AF18" s="17" t="s">
        <v>11</v>
      </c>
      <c r="AG18" s="17" t="s">
        <v>19</v>
      </c>
      <c r="AH18" s="17" t="s">
        <v>20</v>
      </c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39"/>
      <c r="X19" s="17"/>
      <c r="Y19" s="40" t="str">
        <f t="array" ref="Y19:AMX19">IF('STANDAR RESEP'!A19="", "", TRANSPOSE(INDIRECT(SUBSTITUTE(SUBSTITUTE(SUBSTITUTE('STANDAR RESEP'!A19, " ", "_"), "(", ""), ")", ""))))</f>
        <v>Nasi Daun Jeruk (Beras Premium)</v>
      </c>
      <c r="Z19" s="17" t="s">
        <v>14</v>
      </c>
      <c r="AA19" s="17" t="s">
        <v>17</v>
      </c>
      <c r="AB19" s="17" t="s">
        <v>18</v>
      </c>
      <c r="AC19" s="17" t="s">
        <v>15</v>
      </c>
      <c r="AD19" s="17" t="s">
        <v>16</v>
      </c>
      <c r="AE19" s="17" t="s">
        <v>9</v>
      </c>
      <c r="AF19" s="17" t="s">
        <v>11</v>
      </c>
      <c r="AG19" s="17" t="s">
        <v>19</v>
      </c>
      <c r="AH19" s="17" t="s">
        <v>20</v>
      </c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39"/>
      <c r="X20" s="17"/>
      <c r="Y20" s="40" t="str">
        <f t="array" ref="Y20:AMX20">IF('STANDAR RESEP'!A20="", "", TRANSPOSE(INDIRECT(SUBSTITUTE(SUBSTITUTE(SUBSTITUTE('STANDAR RESEP'!A20, " ", "_"), "(", ""), ")", ""))))</f>
        <v>Nasi Daun Jeruk (Beras Premium)</v>
      </c>
      <c r="Z20" s="17" t="s">
        <v>14</v>
      </c>
      <c r="AA20" s="17" t="s">
        <v>17</v>
      </c>
      <c r="AB20" s="17" t="s">
        <v>18</v>
      </c>
      <c r="AC20" s="17" t="s">
        <v>15</v>
      </c>
      <c r="AD20" s="17" t="s">
        <v>16</v>
      </c>
      <c r="AE20" s="17" t="s">
        <v>9</v>
      </c>
      <c r="AF20" s="17" t="s">
        <v>11</v>
      </c>
      <c r="AG20" s="17" t="s">
        <v>19</v>
      </c>
      <c r="AH20" s="17" t="s">
        <v>20</v>
      </c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39"/>
      <c r="X21" s="17"/>
      <c r="Y21" s="40" t="str">
        <f t="array" ref="Y21:AMX21">IF('STANDAR RESEP'!A21="", "", TRANSPOSE(INDIRECT(SUBSTITUTE(SUBSTITUTE(SUBSTITUTE('STANDAR RESEP'!A21, " ", "_"), "(", ""), ")", ""))))</f>
        <v>Nasi Daun Jeruk (Beras Premium)</v>
      </c>
      <c r="Z21" s="17" t="s">
        <v>14</v>
      </c>
      <c r="AA21" s="17" t="s">
        <v>17</v>
      </c>
      <c r="AB21" s="17" t="s">
        <v>18</v>
      </c>
      <c r="AC21" s="17" t="s">
        <v>15</v>
      </c>
      <c r="AD21" s="17" t="s">
        <v>16</v>
      </c>
      <c r="AE21" s="17" t="s">
        <v>9</v>
      </c>
      <c r="AF21" s="17" t="s">
        <v>11</v>
      </c>
      <c r="AG21" s="17" t="s">
        <v>19</v>
      </c>
      <c r="AH21" s="17" t="s">
        <v>20</v>
      </c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39"/>
      <c r="X22" s="17"/>
      <c r="Y22" s="40" t="str">
        <f t="array" ref="Y22:AMX22">IF('STANDAR RESEP'!A22="", "", TRANSPOSE(INDIRECT(SUBSTITUTE(SUBSTITUTE(SUBSTITUTE('STANDAR RESEP'!A22, " ", "_"), "(", ""), ")", ""))))</f>
        <v>Nasi Daun Jeruk (Beras Premium)</v>
      </c>
      <c r="Z22" s="17" t="s">
        <v>14</v>
      </c>
      <c r="AA22" s="17" t="s">
        <v>17</v>
      </c>
      <c r="AB22" s="17" t="s">
        <v>18</v>
      </c>
      <c r="AC22" s="17" t="s">
        <v>15</v>
      </c>
      <c r="AD22" s="17" t="s">
        <v>16</v>
      </c>
      <c r="AE22" s="17" t="s">
        <v>9</v>
      </c>
      <c r="AF22" s="17" t="s">
        <v>11</v>
      </c>
      <c r="AG22" s="17" t="s">
        <v>19</v>
      </c>
      <c r="AH22" s="17" t="s">
        <v>20</v>
      </c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39"/>
      <c r="X23" s="17"/>
      <c r="Y23" s="40" t="str">
        <f t="array" ref="Y23:AMX23">IF('STANDAR RESEP'!A23="", "", TRANSPOSE(INDIRECT(SUBSTITUTE(SUBSTITUTE(SUBSTITUTE('STANDAR RESEP'!A23, " ", "_"), "(", ""), ")", ""))))</f>
        <v>Nasi Daun Jeruk (Beras Premium)</v>
      </c>
      <c r="Z23" s="17" t="s">
        <v>14</v>
      </c>
      <c r="AA23" s="17" t="s">
        <v>17</v>
      </c>
      <c r="AB23" s="17" t="s">
        <v>18</v>
      </c>
      <c r="AC23" s="17" t="s">
        <v>15</v>
      </c>
      <c r="AD23" s="17" t="s">
        <v>16</v>
      </c>
      <c r="AE23" s="17" t="s">
        <v>9</v>
      </c>
      <c r="AF23" s="17" t="s">
        <v>11</v>
      </c>
      <c r="AG23" s="17" t="s">
        <v>19</v>
      </c>
      <c r="AH23" s="17" t="s">
        <v>20</v>
      </c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39"/>
      <c r="X24" s="17"/>
      <c r="Y24" s="40" t="str">
        <f t="array" ref="Y24:AMX24">IF('STANDAR RESEP'!A24="", "", TRANSPOSE(INDIRECT(SUBSTITUTE(SUBSTITUTE(SUBSTITUTE('STANDAR RESEP'!A24, " ", "_"), "(", ""), ")", ""))))</f>
        <v>Nasi Daun Jeruk (Beras Premium)</v>
      </c>
      <c r="Z24" s="17" t="s">
        <v>14</v>
      </c>
      <c r="AA24" s="17" t="s">
        <v>17</v>
      </c>
      <c r="AB24" s="17" t="s">
        <v>18</v>
      </c>
      <c r="AC24" s="17" t="s">
        <v>15</v>
      </c>
      <c r="AD24" s="17" t="s">
        <v>16</v>
      </c>
      <c r="AE24" s="17" t="s">
        <v>9</v>
      </c>
      <c r="AF24" s="17" t="s">
        <v>11</v>
      </c>
      <c r="AG24" s="17" t="s">
        <v>19</v>
      </c>
      <c r="AH24" s="17" t="s">
        <v>20</v>
      </c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39"/>
      <c r="X25" s="17"/>
      <c r="Y25" s="40" t="str">
        <f t="array" ref="Y25:AMX25">IF('STANDAR RESEP'!A26="", "", TRANSPOSE(INDIRECT(SUBSTITUTE(SUBSTITUTE(SUBSTITUTE('STANDAR RESEP'!A26, " ", "_"), "(", ""), ")", ""))))</f>
        <v>Nasi Daun Jeruk (Beras Premium)</v>
      </c>
      <c r="Z25" s="17" t="s">
        <v>14</v>
      </c>
      <c r="AA25" s="17" t="s">
        <v>17</v>
      </c>
      <c r="AB25" s="17" t="s">
        <v>18</v>
      </c>
      <c r="AC25" s="17" t="s">
        <v>15</v>
      </c>
      <c r="AD25" s="17" t="s">
        <v>16</v>
      </c>
      <c r="AE25" s="17" t="s">
        <v>9</v>
      </c>
      <c r="AF25" s="17" t="s">
        <v>11</v>
      </c>
      <c r="AG25" s="17" t="s">
        <v>19</v>
      </c>
      <c r="AH25" s="17" t="s">
        <v>20</v>
      </c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39"/>
      <c r="X26" s="17"/>
      <c r="Y26" s="40" t="str">
        <f t="array" ref="Y26:AMX26">IF('STANDAR RESEP'!A27="", "", TRANSPOSE(INDIRECT(SUBSTITUTE(SUBSTITUTE(SUBSTITUTE('STANDAR RESEP'!A27, " ", "_"), "(", ""), ")", ""))))</f>
        <v>Nasi Daun Jeruk (Beras Premium)</v>
      </c>
      <c r="Z26" s="17" t="s">
        <v>14</v>
      </c>
      <c r="AA26" s="17" t="s">
        <v>17</v>
      </c>
      <c r="AB26" s="17" t="s">
        <v>18</v>
      </c>
      <c r="AC26" s="17" t="s">
        <v>15</v>
      </c>
      <c r="AD26" s="17" t="s">
        <v>16</v>
      </c>
      <c r="AE26" s="17" t="s">
        <v>9</v>
      </c>
      <c r="AF26" s="17" t="s">
        <v>11</v>
      </c>
      <c r="AG26" s="17" t="s">
        <v>19</v>
      </c>
      <c r="AH26" s="17" t="s">
        <v>20</v>
      </c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39"/>
      <c r="X27" s="17"/>
      <c r="Y27" s="40" t="str">
        <f t="array" ref="Y27:AMX27">IF('STANDAR RESEP'!A28="", "", TRANSPOSE(INDIRECT(SUBSTITUTE(SUBSTITUTE(SUBSTITUTE('STANDAR RESEP'!A28, " ", "_"), "(", ""), ")", ""))))</f>
        <v>Nasi Daun Jeruk (Beras Premium)</v>
      </c>
      <c r="Z27" s="17" t="s">
        <v>14</v>
      </c>
      <c r="AA27" s="17" t="s">
        <v>17</v>
      </c>
      <c r="AB27" s="17" t="s">
        <v>18</v>
      </c>
      <c r="AC27" s="17" t="s">
        <v>15</v>
      </c>
      <c r="AD27" s="17" t="s">
        <v>16</v>
      </c>
      <c r="AE27" s="17" t="s">
        <v>9</v>
      </c>
      <c r="AF27" s="17" t="s">
        <v>11</v>
      </c>
      <c r="AG27" s="17" t="s">
        <v>19</v>
      </c>
      <c r="AH27" s="17" t="s">
        <v>20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39"/>
      <c r="X28" s="17"/>
      <c r="Y28" s="40" t="str">
        <f t="array" ref="Y28:AMX28">IF('STANDAR RESEP'!A29="", "", TRANSPOSE(INDIRECT(SUBSTITUTE(SUBSTITUTE(SUBSTITUTE('STANDAR RESEP'!A29, " ", "_"), "(", ""), ")", ""))))</f>
        <v>Nasi Daun Jeruk (Beras Premium)</v>
      </c>
      <c r="Z28" s="17" t="s">
        <v>14</v>
      </c>
      <c r="AA28" s="17" t="s">
        <v>17</v>
      </c>
      <c r="AB28" s="17" t="s">
        <v>18</v>
      </c>
      <c r="AC28" s="17" t="s">
        <v>15</v>
      </c>
      <c r="AD28" s="17" t="s">
        <v>16</v>
      </c>
      <c r="AE28" s="17" t="s">
        <v>9</v>
      </c>
      <c r="AF28" s="17" t="s">
        <v>11</v>
      </c>
      <c r="AG28" s="17" t="s">
        <v>19</v>
      </c>
      <c r="AH28" s="17" t="s">
        <v>20</v>
      </c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39"/>
      <c r="X29" s="17"/>
      <c r="Y29" s="40" t="str">
        <f t="array" ref="Y29:AMX29">IF('STANDAR RESEP'!A30="", "", TRANSPOSE(INDIRECT(SUBSTITUTE(SUBSTITUTE(SUBSTITUTE('STANDAR RESEP'!A30, " ", "_"), "(", ""), ")", ""))))</f>
        <v>Nasi Daun Jeruk (Beras Premium)</v>
      </c>
      <c r="Z29" s="17" t="s">
        <v>14</v>
      </c>
      <c r="AA29" s="17" t="s">
        <v>17</v>
      </c>
      <c r="AB29" s="17" t="s">
        <v>18</v>
      </c>
      <c r="AC29" s="17" t="s">
        <v>15</v>
      </c>
      <c r="AD29" s="17" t="s">
        <v>16</v>
      </c>
      <c r="AE29" s="17" t="s">
        <v>9</v>
      </c>
      <c r="AF29" s="17" t="s">
        <v>11</v>
      </c>
      <c r="AG29" s="17" t="s">
        <v>19</v>
      </c>
      <c r="AH29" s="17" t="s">
        <v>20</v>
      </c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39"/>
      <c r="X30" s="17"/>
      <c r="Y30" s="40" t="str">
        <f t="array" ref="Y30:AMX30">IF('STANDAR RESEP'!A31="", "", TRANSPOSE(INDIRECT(SUBSTITUTE(SUBSTITUTE(SUBSTITUTE('STANDAR RESEP'!A31, " ", "_"), "(", ""), ")", ""))))</f>
        <v>Nasi Daun Jeruk (Beras Premium)</v>
      </c>
      <c r="Z30" s="17" t="s">
        <v>14</v>
      </c>
      <c r="AA30" s="17" t="s">
        <v>17</v>
      </c>
      <c r="AB30" s="17" t="s">
        <v>18</v>
      </c>
      <c r="AC30" s="17" t="s">
        <v>15</v>
      </c>
      <c r="AD30" s="17" t="s">
        <v>16</v>
      </c>
      <c r="AE30" s="17" t="s">
        <v>9</v>
      </c>
      <c r="AF30" s="17" t="s">
        <v>11</v>
      </c>
      <c r="AG30" s="17" t="s">
        <v>19</v>
      </c>
      <c r="AH30" s="17" t="s">
        <v>20</v>
      </c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39"/>
      <c r="X31" s="17"/>
      <c r="Y31" s="40" t="str">
        <f t="array" ref="Y31:AMX31">IF('STANDAR RESEP'!A32="", "", TRANSPOSE(INDIRECT(SUBSTITUTE(SUBSTITUTE(SUBSTITUTE('STANDAR RESEP'!A32, " ", "_"), "(", ""), ")", ""))))</f>
        <v>Nasi Daun Jeruk (Beras Premium)</v>
      </c>
      <c r="Z31" s="17" t="s">
        <v>14</v>
      </c>
      <c r="AA31" s="17" t="s">
        <v>17</v>
      </c>
      <c r="AB31" s="17" t="s">
        <v>18</v>
      </c>
      <c r="AC31" s="17" t="s">
        <v>15</v>
      </c>
      <c r="AD31" s="17" t="s">
        <v>16</v>
      </c>
      <c r="AE31" s="17" t="s">
        <v>9</v>
      </c>
      <c r="AF31" s="17" t="s">
        <v>11</v>
      </c>
      <c r="AG31" s="17" t="s">
        <v>19</v>
      </c>
      <c r="AH31" s="17" t="s">
        <v>20</v>
      </c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39"/>
      <c r="X32" s="17"/>
      <c r="Y32" s="40" t="str">
        <f t="array" ref="Y32:AMX32">IF('STANDAR RESEP'!A33="", "", TRANSPOSE(INDIRECT(SUBSTITUTE(SUBSTITUTE(SUBSTITUTE('STANDAR RESEP'!A33, " ", "_"), "(", ""), ")", ""))))</f>
        <v>Nasi Daun Jeruk (Beras Premium)</v>
      </c>
      <c r="Z32" s="17" t="s">
        <v>14</v>
      </c>
      <c r="AA32" s="17" t="s">
        <v>17</v>
      </c>
      <c r="AB32" s="17" t="s">
        <v>18</v>
      </c>
      <c r="AC32" s="17" t="s">
        <v>15</v>
      </c>
      <c r="AD32" s="17" t="s">
        <v>16</v>
      </c>
      <c r="AE32" s="17" t="s">
        <v>9</v>
      </c>
      <c r="AF32" s="17" t="s">
        <v>11</v>
      </c>
      <c r="AG32" s="17" t="s">
        <v>19</v>
      </c>
      <c r="AH32" s="17" t="s">
        <v>20</v>
      </c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39"/>
      <c r="X33" s="17"/>
      <c r="Y33" s="40" t="str">
        <f t="array" ref="Y33:AMX33">IF('STANDAR RESEP'!A34="", "", TRANSPOSE(INDIRECT(SUBSTITUTE(SUBSTITUTE(SUBSTITUTE('STANDAR RESEP'!A34, " ", "_"), "(", ""), ")", ""))))</f>
        <v>Nasi Daun Jeruk (Beras Premium)</v>
      </c>
      <c r="Z33" s="17" t="s">
        <v>14</v>
      </c>
      <c r="AA33" s="17" t="s">
        <v>17</v>
      </c>
      <c r="AB33" s="17" t="s">
        <v>18</v>
      </c>
      <c r="AC33" s="17" t="s">
        <v>15</v>
      </c>
      <c r="AD33" s="17" t="s">
        <v>16</v>
      </c>
      <c r="AE33" s="17" t="s">
        <v>9</v>
      </c>
      <c r="AF33" s="17" t="s">
        <v>11</v>
      </c>
      <c r="AG33" s="17" t="s">
        <v>19</v>
      </c>
      <c r="AH33" s="17" t="s">
        <v>20</v>
      </c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39"/>
      <c r="X34" s="17"/>
      <c r="Y34" s="40" t="str">
        <f t="array" ref="Y34:AMX34">IF('STANDAR RESEP'!A36="", "", TRANSPOSE(INDIRECT(SUBSTITUTE(SUBSTITUTE(SUBSTITUTE('STANDAR RESEP'!A36, " ", "_"), "(", ""), ")", ""))))</f>
        <v>Nasi Daun Jeruk (Beras Premium)</v>
      </c>
      <c r="Z34" s="17" t="s">
        <v>14</v>
      </c>
      <c r="AA34" s="17" t="s">
        <v>17</v>
      </c>
      <c r="AB34" s="17" t="s">
        <v>18</v>
      </c>
      <c r="AC34" s="17" t="s">
        <v>15</v>
      </c>
      <c r="AD34" s="17" t="s">
        <v>16</v>
      </c>
      <c r="AE34" s="17" t="s">
        <v>9</v>
      </c>
      <c r="AF34" s="17" t="s">
        <v>11</v>
      </c>
      <c r="AG34" s="17" t="s">
        <v>19</v>
      </c>
      <c r="AH34" s="17" t="s">
        <v>20</v>
      </c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39"/>
      <c r="X35" s="17"/>
      <c r="Y35" s="40" t="str">
        <f t="array" ref="Y35:AMX35">IF('STANDAR RESEP'!A37="", "", TRANSPOSE(INDIRECT(SUBSTITUTE(SUBSTITUTE(SUBSTITUTE('STANDAR RESEP'!A37, " ", "_"), "(", ""), ")", ""))))</f>
        <v>Nasi Daun Jeruk (Beras Premium)</v>
      </c>
      <c r="Z35" s="17" t="s">
        <v>14</v>
      </c>
      <c r="AA35" s="17" t="s">
        <v>17</v>
      </c>
      <c r="AB35" s="17" t="s">
        <v>18</v>
      </c>
      <c r="AC35" s="17" t="s">
        <v>15</v>
      </c>
      <c r="AD35" s="17" t="s">
        <v>16</v>
      </c>
      <c r="AE35" s="17" t="s">
        <v>9</v>
      </c>
      <c r="AF35" s="17" t="s">
        <v>11</v>
      </c>
      <c r="AG35" s="17" t="s">
        <v>19</v>
      </c>
      <c r="AH35" s="17" t="s">
        <v>20</v>
      </c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39"/>
      <c r="X36" s="17"/>
      <c r="Y36" s="40" t="str">
        <f t="array" ref="Y36:AMX36">IF('STANDAR RESEP'!A38="", "", TRANSPOSE(INDIRECT(SUBSTITUTE(SUBSTITUTE(SUBSTITUTE('STANDAR RESEP'!A38, " ", "_"), "(", ""), ")", ""))))</f>
        <v>Nasi Daun Jeruk (Beras Premium)</v>
      </c>
      <c r="Z36" s="17" t="s">
        <v>14</v>
      </c>
      <c r="AA36" s="17" t="s">
        <v>17</v>
      </c>
      <c r="AB36" s="17" t="s">
        <v>18</v>
      </c>
      <c r="AC36" s="17" t="s">
        <v>15</v>
      </c>
      <c r="AD36" s="17" t="s">
        <v>16</v>
      </c>
      <c r="AE36" s="17" t="s">
        <v>9</v>
      </c>
      <c r="AF36" s="17" t="s">
        <v>11</v>
      </c>
      <c r="AG36" s="17" t="s">
        <v>19</v>
      </c>
      <c r="AH36" s="17" t="s">
        <v>20</v>
      </c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39"/>
      <c r="X37" s="17"/>
      <c r="Y37" s="40" t="str">
        <f t="array" ref="Y37:AMX37">IF('STANDAR RESEP'!A39="", "", TRANSPOSE(INDIRECT(SUBSTITUTE(SUBSTITUTE(SUBSTITUTE('STANDAR RESEP'!A39, " ", "_"), "(", ""), ")", ""))))</f>
        <v>Nasi Daun Jeruk (Beras Premium)</v>
      </c>
      <c r="Z37" s="17" t="s">
        <v>14</v>
      </c>
      <c r="AA37" s="17" t="s">
        <v>17</v>
      </c>
      <c r="AB37" s="17" t="s">
        <v>18</v>
      </c>
      <c r="AC37" s="17" t="s">
        <v>15</v>
      </c>
      <c r="AD37" s="17" t="s">
        <v>16</v>
      </c>
      <c r="AE37" s="17" t="s">
        <v>9</v>
      </c>
      <c r="AF37" s="17" t="s">
        <v>11</v>
      </c>
      <c r="AG37" s="17" t="s">
        <v>19</v>
      </c>
      <c r="AH37" s="17" t="s">
        <v>20</v>
      </c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39"/>
      <c r="X38" s="17"/>
      <c r="Y38" s="40" t="str">
        <f t="array" ref="Y38:AMX38">IF('STANDAR RESEP'!A40="", "", TRANSPOSE(INDIRECT(SUBSTITUTE(SUBSTITUTE(SUBSTITUTE('STANDAR RESEP'!A40, " ", "_"), "(", ""), ")", ""))))</f>
        <v>Nasi Daun Jeruk (Beras Premium)</v>
      </c>
      <c r="Z38" s="17" t="s">
        <v>14</v>
      </c>
      <c r="AA38" s="17" t="s">
        <v>17</v>
      </c>
      <c r="AB38" s="17" t="s">
        <v>18</v>
      </c>
      <c r="AC38" s="17" t="s">
        <v>15</v>
      </c>
      <c r="AD38" s="17" t="s">
        <v>16</v>
      </c>
      <c r="AE38" s="17" t="s">
        <v>9</v>
      </c>
      <c r="AF38" s="17" t="s">
        <v>11</v>
      </c>
      <c r="AG38" s="17" t="s">
        <v>19</v>
      </c>
      <c r="AH38" s="17" t="s">
        <v>20</v>
      </c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39"/>
      <c r="X39" s="17"/>
      <c r="Y39" s="40" t="str">
        <f t="array" ref="Y39:AMX39">IF('STANDAR RESEP'!A41="", "", TRANSPOSE(INDIRECT(SUBSTITUTE(SUBSTITUTE(SUBSTITUTE('STANDAR RESEP'!A41, " ", "_"), "(", ""), ")", ""))))</f>
        <v>Nasi Daun Jeruk (Beras Premium)</v>
      </c>
      <c r="Z39" s="17" t="s">
        <v>14</v>
      </c>
      <c r="AA39" s="17" t="s">
        <v>17</v>
      </c>
      <c r="AB39" s="17" t="s">
        <v>18</v>
      </c>
      <c r="AC39" s="17" t="s">
        <v>15</v>
      </c>
      <c r="AD39" s="17" t="s">
        <v>16</v>
      </c>
      <c r="AE39" s="17" t="s">
        <v>9</v>
      </c>
      <c r="AF39" s="17" t="s">
        <v>11</v>
      </c>
      <c r="AG39" s="17" t="s">
        <v>19</v>
      </c>
      <c r="AH39" s="17" t="s">
        <v>20</v>
      </c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39"/>
      <c r="X40" s="17"/>
      <c r="Y40" s="40" t="str">
        <f t="array" ref="Y40:AMX40">IF('STANDAR RESEP'!A43="", "", TRANSPOSE(INDIRECT(SUBSTITUTE(SUBSTITUTE(SUBSTITUTE('STANDAR RESEP'!A43, " ", "_"), "(", ""), ")", ""))))</f>
        <v>Nasi Daun Jeruk (Beras Premium)</v>
      </c>
      <c r="Z40" s="17" t="s">
        <v>14</v>
      </c>
      <c r="AA40" s="17" t="s">
        <v>17</v>
      </c>
      <c r="AB40" s="17" t="s">
        <v>18</v>
      </c>
      <c r="AC40" s="17" t="s">
        <v>15</v>
      </c>
      <c r="AD40" s="17" t="s">
        <v>16</v>
      </c>
      <c r="AE40" s="17" t="s">
        <v>9</v>
      </c>
      <c r="AF40" s="17" t="s">
        <v>11</v>
      </c>
      <c r="AG40" s="17" t="s">
        <v>19</v>
      </c>
      <c r="AH40" s="17" t="s">
        <v>20</v>
      </c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39"/>
      <c r="X41" s="17"/>
      <c r="Y41" s="40" t="str">
        <f t="array" ref="Y41:AMX41">IF('STANDAR RESEP'!A44="", "", TRANSPOSE(INDIRECT(SUBSTITUTE(SUBSTITUTE(SUBSTITUTE('STANDAR RESEP'!A44, " ", "_"), "(", ""), ")", ""))))</f>
        <v>Nasi Daun Jeruk (Beras Premium)</v>
      </c>
      <c r="Z41" s="17" t="s">
        <v>14</v>
      </c>
      <c r="AA41" s="17" t="s">
        <v>17</v>
      </c>
      <c r="AB41" s="17" t="s">
        <v>18</v>
      </c>
      <c r="AC41" s="17" t="s">
        <v>15</v>
      </c>
      <c r="AD41" s="17" t="s">
        <v>16</v>
      </c>
      <c r="AE41" s="17" t="s">
        <v>9</v>
      </c>
      <c r="AF41" s="17" t="s">
        <v>11</v>
      </c>
      <c r="AG41" s="17" t="s">
        <v>19</v>
      </c>
      <c r="AH41" s="17" t="s">
        <v>20</v>
      </c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39"/>
      <c r="X42" s="17"/>
      <c r="Y42" s="40" t="str">
        <f t="array" ref="Y42:AMX42">IF('STANDAR RESEP'!A45="", "", TRANSPOSE(INDIRECT(SUBSTITUTE(SUBSTITUTE(SUBSTITUTE('STANDAR RESEP'!A45, " ", "_"), "(", ""), ")", ""))))</f>
        <v>Nasi Daun Jeruk (Beras Premium)</v>
      </c>
      <c r="Z42" s="17" t="s">
        <v>14</v>
      </c>
      <c r="AA42" s="17" t="s">
        <v>17</v>
      </c>
      <c r="AB42" s="17" t="s">
        <v>18</v>
      </c>
      <c r="AC42" s="17" t="s">
        <v>15</v>
      </c>
      <c r="AD42" s="17" t="s">
        <v>16</v>
      </c>
      <c r="AE42" s="17" t="s">
        <v>9</v>
      </c>
      <c r="AF42" s="17" t="s">
        <v>11</v>
      </c>
      <c r="AG42" s="17" t="s">
        <v>19</v>
      </c>
      <c r="AH42" s="17" t="s">
        <v>20</v>
      </c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39"/>
      <c r="X43" s="17"/>
      <c r="Y43" s="40" t="str">
        <f t="array" ref="Y43:AMX43">IF('STANDAR RESEP'!A46="", "", TRANSPOSE(INDIRECT(SUBSTITUTE(SUBSTITUTE(SUBSTITUTE('STANDAR RESEP'!A46, " ", "_"), "(", ""), ")", ""))))</f>
        <v>Nasi Daun Jeruk (Beras Premium)</v>
      </c>
      <c r="Z43" s="17" t="s">
        <v>14</v>
      </c>
      <c r="AA43" s="17" t="s">
        <v>17</v>
      </c>
      <c r="AB43" s="17" t="s">
        <v>18</v>
      </c>
      <c r="AC43" s="17" t="s">
        <v>15</v>
      </c>
      <c r="AD43" s="17" t="s">
        <v>16</v>
      </c>
      <c r="AE43" s="17" t="s">
        <v>9</v>
      </c>
      <c r="AF43" s="17" t="s">
        <v>11</v>
      </c>
      <c r="AG43" s="17" t="s">
        <v>19</v>
      </c>
      <c r="AH43" s="17" t="s">
        <v>20</v>
      </c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39"/>
      <c r="X44" s="17"/>
      <c r="Y44" s="40" t="str">
        <f t="array" ref="Y44:AMX44">IF('STANDAR RESEP'!A47="", "", TRANSPOSE(INDIRECT(SUBSTITUTE(SUBSTITUTE(SUBSTITUTE('STANDAR RESEP'!A47, " ", "_"), "(", ""), ")", ""))))</f>
        <v>Nasi Daun Jeruk (Beras Premium)</v>
      </c>
      <c r="Z44" s="17" t="s">
        <v>14</v>
      </c>
      <c r="AA44" s="17" t="s">
        <v>17</v>
      </c>
      <c r="AB44" s="17" t="s">
        <v>18</v>
      </c>
      <c r="AC44" s="17" t="s">
        <v>15</v>
      </c>
      <c r="AD44" s="17" t="s">
        <v>16</v>
      </c>
      <c r="AE44" s="17" t="s">
        <v>9</v>
      </c>
      <c r="AF44" s="17" t="s">
        <v>11</v>
      </c>
      <c r="AG44" s="17" t="s">
        <v>19</v>
      </c>
      <c r="AH44" s="17" t="s">
        <v>20</v>
      </c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39"/>
      <c r="X45" s="17"/>
      <c r="Y45" s="40" t="str">
        <f t="array" ref="Y45:AMX45">IF('STANDAR RESEP'!A48="", "", TRANSPOSE(INDIRECT(SUBSTITUTE(SUBSTITUTE(SUBSTITUTE('STANDAR RESEP'!A48, " ", "_"), "(", ""), ")", ""))))</f>
        <v>Nasi Daun Jeruk (Beras Premium)</v>
      </c>
      <c r="Z45" s="17" t="s">
        <v>14</v>
      </c>
      <c r="AA45" s="17" t="s">
        <v>17</v>
      </c>
      <c r="AB45" s="17" t="s">
        <v>18</v>
      </c>
      <c r="AC45" s="17" t="s">
        <v>15</v>
      </c>
      <c r="AD45" s="17" t="s">
        <v>16</v>
      </c>
      <c r="AE45" s="17" t="s">
        <v>9</v>
      </c>
      <c r="AF45" s="17" t="s">
        <v>11</v>
      </c>
      <c r="AG45" s="17" t="s">
        <v>19</v>
      </c>
      <c r="AH45" s="17" t="s">
        <v>20</v>
      </c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39"/>
      <c r="X46" s="17"/>
      <c r="Y46" s="40" t="str">
        <f t="array" ref="Y46:AMX46">IF('STANDAR RESEP'!A52="", "", TRANSPOSE(INDIRECT(SUBSTITUTE(SUBSTITUTE(SUBSTITUTE('STANDAR RESEP'!A52, " ", "_"), "(", ""), ")", ""))))</f>
        <v>Nasi Daun Jeruk (Beras Premium)</v>
      </c>
      <c r="Z46" s="17" t="s">
        <v>14</v>
      </c>
      <c r="AA46" s="17" t="s">
        <v>17</v>
      </c>
      <c r="AB46" s="17" t="s">
        <v>18</v>
      </c>
      <c r="AC46" s="17" t="s">
        <v>15</v>
      </c>
      <c r="AD46" s="17" t="s">
        <v>16</v>
      </c>
      <c r="AE46" s="17" t="s">
        <v>9</v>
      </c>
      <c r="AF46" s="17" t="s">
        <v>11</v>
      </c>
      <c r="AG46" s="17" t="s">
        <v>19</v>
      </c>
      <c r="AH46" s="17" t="s">
        <v>20</v>
      </c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39"/>
      <c r="X47" s="17"/>
      <c r="Y47" s="40" t="str">
        <f t="array" ref="Y47:AMX47">IF('STANDAR RESEP'!A53="", "", TRANSPOSE(INDIRECT(SUBSTITUTE(SUBSTITUTE(SUBSTITUTE('STANDAR RESEP'!A53, " ", "_"), "(", ""), ")", ""))))</f>
        <v>Nasi Daun Jeruk (Beras Premium)</v>
      </c>
      <c r="Z47" s="17" t="s">
        <v>14</v>
      </c>
      <c r="AA47" s="17" t="s">
        <v>17</v>
      </c>
      <c r="AB47" s="17" t="s">
        <v>18</v>
      </c>
      <c r="AC47" s="17" t="s">
        <v>15</v>
      </c>
      <c r="AD47" s="17" t="s">
        <v>16</v>
      </c>
      <c r="AE47" s="17" t="s">
        <v>9</v>
      </c>
      <c r="AF47" s="17" t="s">
        <v>11</v>
      </c>
      <c r="AG47" s="17" t="s">
        <v>19</v>
      </c>
      <c r="AH47" s="17" t="s">
        <v>20</v>
      </c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39"/>
      <c r="X48" s="17"/>
      <c r="Y48" s="40" t="str">
        <f t="array" ref="Y48:AMX48">IF('STANDAR RESEP'!A54="", "", TRANSPOSE(INDIRECT(SUBSTITUTE(SUBSTITUTE(SUBSTITUTE('STANDAR RESEP'!A54, " ", "_"), "(", ""), ")", ""))))</f>
        <v>Nasi Daun Jeruk (Beras Premium)</v>
      </c>
      <c r="Z48" s="17" t="s">
        <v>14</v>
      </c>
      <c r="AA48" s="17" t="s">
        <v>17</v>
      </c>
      <c r="AB48" s="17" t="s">
        <v>18</v>
      </c>
      <c r="AC48" s="17" t="s">
        <v>15</v>
      </c>
      <c r="AD48" s="17" t="s">
        <v>16</v>
      </c>
      <c r="AE48" s="17" t="s">
        <v>9</v>
      </c>
      <c r="AF48" s="17" t="s">
        <v>11</v>
      </c>
      <c r="AG48" s="17" t="s">
        <v>19</v>
      </c>
      <c r="AH48" s="17" t="s">
        <v>20</v>
      </c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39"/>
      <c r="X49" s="17"/>
      <c r="Y49" s="40" t="str">
        <f t="array" ref="Y49:AMX49">IF('STANDAR RESEP'!A55="", "", TRANSPOSE(INDIRECT(SUBSTITUTE(SUBSTITUTE(SUBSTITUTE('STANDAR RESEP'!A55, " ", "_"), "(", ""), ")", ""))))</f>
        <v>Nasi Daun Jeruk (Beras Premium)</v>
      </c>
      <c r="Z49" s="17" t="s">
        <v>14</v>
      </c>
      <c r="AA49" s="17" t="s">
        <v>17</v>
      </c>
      <c r="AB49" s="17" t="s">
        <v>18</v>
      </c>
      <c r="AC49" s="17" t="s">
        <v>15</v>
      </c>
      <c r="AD49" s="17" t="s">
        <v>16</v>
      </c>
      <c r="AE49" s="17" t="s">
        <v>9</v>
      </c>
      <c r="AF49" s="17" t="s">
        <v>11</v>
      </c>
      <c r="AG49" s="17" t="s">
        <v>19</v>
      </c>
      <c r="AH49" s="17" t="s">
        <v>20</v>
      </c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39"/>
      <c r="X50" s="17"/>
      <c r="Y50" s="40" t="str">
        <f t="array" ref="Y50:AMX50">IF('STANDAR RESEP'!A56="", "", TRANSPOSE(INDIRECT(SUBSTITUTE(SUBSTITUTE(SUBSTITUTE('STANDAR RESEP'!A56, " ", "_"), "(", ""), ")", ""))))</f>
        <v>Nasi Daun Jeruk (Beras Premium)</v>
      </c>
      <c r="Z50" s="17" t="s">
        <v>14</v>
      </c>
      <c r="AA50" s="17" t="s">
        <v>17</v>
      </c>
      <c r="AB50" s="17" t="s">
        <v>18</v>
      </c>
      <c r="AC50" s="17" t="s">
        <v>15</v>
      </c>
      <c r="AD50" s="17" t="s">
        <v>16</v>
      </c>
      <c r="AE50" s="17" t="s">
        <v>9</v>
      </c>
      <c r="AF50" s="17" t="s">
        <v>11</v>
      </c>
      <c r="AG50" s="17" t="s">
        <v>19</v>
      </c>
      <c r="AH50" s="17" t="s">
        <v>20</v>
      </c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39"/>
      <c r="X51" s="17"/>
      <c r="Y51" s="40" t="str">
        <f t="array" ref="Y51:AMX51">IF('STANDAR RESEP'!A57="", "", TRANSPOSE(INDIRECT(SUBSTITUTE(SUBSTITUTE(SUBSTITUTE('STANDAR RESEP'!A57, " ", "_"), "(", ""), ")", ""))))</f>
        <v>Nasi Daun Jeruk (Beras Premium)</v>
      </c>
      <c r="Z51" s="17" t="s">
        <v>14</v>
      </c>
      <c r="AA51" s="17" t="s">
        <v>17</v>
      </c>
      <c r="AB51" s="17" t="s">
        <v>18</v>
      </c>
      <c r="AC51" s="17" t="s">
        <v>15</v>
      </c>
      <c r="AD51" s="17" t="s">
        <v>16</v>
      </c>
      <c r="AE51" s="17" t="s">
        <v>9</v>
      </c>
      <c r="AF51" s="17" t="s">
        <v>11</v>
      </c>
      <c r="AG51" s="17" t="s">
        <v>19</v>
      </c>
      <c r="AH51" s="17" t="s">
        <v>20</v>
      </c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39"/>
      <c r="X52" s="17"/>
      <c r="Y52" s="40" t="str">
        <f t="array" ref="Y52:AMX52">IF('STANDAR RESEP'!A58="", "", TRANSPOSE(INDIRECT(SUBSTITUTE(SUBSTITUTE(SUBSTITUTE('STANDAR RESEP'!A58, " ", "_"), "(", ""), ")", ""))))</f>
        <v>Nasi Daun Jeruk (Beras Premium)</v>
      </c>
      <c r="Z52" s="17" t="s">
        <v>14</v>
      </c>
      <c r="AA52" s="17" t="s">
        <v>17</v>
      </c>
      <c r="AB52" s="17" t="s">
        <v>18</v>
      </c>
      <c r="AC52" s="17" t="s">
        <v>15</v>
      </c>
      <c r="AD52" s="17" t="s">
        <v>16</v>
      </c>
      <c r="AE52" s="17" t="s">
        <v>9</v>
      </c>
      <c r="AF52" s="17" t="s">
        <v>11</v>
      </c>
      <c r="AG52" s="17" t="s">
        <v>19</v>
      </c>
      <c r="AH52" s="17" t="s">
        <v>20</v>
      </c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39"/>
      <c r="X53" s="17"/>
      <c r="Y53" s="40" t="str">
        <f t="array" ref="Y53:AMX53">IF('STANDAR RESEP'!A59="", "", TRANSPOSE(INDIRECT(SUBSTITUTE(SUBSTITUTE(SUBSTITUTE('STANDAR RESEP'!A59, " ", "_"), "(", ""), ")", ""))))</f>
        <v>Nasi Daun Jeruk (Beras Premium)</v>
      </c>
      <c r="Z53" s="17" t="s">
        <v>14</v>
      </c>
      <c r="AA53" s="17" t="s">
        <v>17</v>
      </c>
      <c r="AB53" s="17" t="s">
        <v>18</v>
      </c>
      <c r="AC53" s="17" t="s">
        <v>15</v>
      </c>
      <c r="AD53" s="17" t="s">
        <v>16</v>
      </c>
      <c r="AE53" s="17" t="s">
        <v>9</v>
      </c>
      <c r="AF53" s="17" t="s">
        <v>11</v>
      </c>
      <c r="AG53" s="17" t="s">
        <v>19</v>
      </c>
      <c r="AH53" s="17" t="s">
        <v>20</v>
      </c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39"/>
      <c r="X54" s="17"/>
      <c r="Y54" s="40" t="str">
        <f t="array" ref="Y54:AMX54">IF('STANDAR RESEP'!A61="", "", TRANSPOSE(INDIRECT(SUBSTITUTE(SUBSTITUTE(SUBSTITUTE('STANDAR RESEP'!A61, " ", "_"), "(", ""), ")", ""))))</f>
        <v>Nasi Daun Jeruk (Beras Premium)</v>
      </c>
      <c r="Z54" s="17" t="s">
        <v>14</v>
      </c>
      <c r="AA54" s="17" t="s">
        <v>17</v>
      </c>
      <c r="AB54" s="17" t="s">
        <v>18</v>
      </c>
      <c r="AC54" s="17" t="s">
        <v>15</v>
      </c>
      <c r="AD54" s="17" t="s">
        <v>16</v>
      </c>
      <c r="AE54" s="17" t="s">
        <v>9</v>
      </c>
      <c r="AF54" s="17" t="s">
        <v>11</v>
      </c>
      <c r="AG54" s="17" t="s">
        <v>19</v>
      </c>
      <c r="AH54" s="17" t="s">
        <v>20</v>
      </c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39"/>
      <c r="X55" s="17"/>
      <c r="Y55" s="40" t="str">
        <f t="array" ref="Y55:AMX55">IF('STANDAR RESEP'!A62="", "", TRANSPOSE(INDIRECT(SUBSTITUTE(SUBSTITUTE(SUBSTITUTE('STANDAR RESEP'!A62, " ", "_"), "(", ""), ")", ""))))</f>
        <v>Nasi Daun Jeruk (Beras Premium)</v>
      </c>
      <c r="Z55" s="17" t="s">
        <v>14</v>
      </c>
      <c r="AA55" s="17" t="s">
        <v>17</v>
      </c>
      <c r="AB55" s="17" t="s">
        <v>18</v>
      </c>
      <c r="AC55" s="17" t="s">
        <v>15</v>
      </c>
      <c r="AD55" s="17" t="s">
        <v>16</v>
      </c>
      <c r="AE55" s="17" t="s">
        <v>9</v>
      </c>
      <c r="AF55" s="17" t="s">
        <v>11</v>
      </c>
      <c r="AG55" s="17" t="s">
        <v>19</v>
      </c>
      <c r="AH55" s="17" t="s">
        <v>20</v>
      </c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39"/>
      <c r="X56" s="17"/>
      <c r="Y56" s="40" t="str">
        <f t="array" ref="Y56:AMX56">IF('STANDAR RESEP'!A63="", "", TRANSPOSE(INDIRECT(SUBSTITUTE(SUBSTITUTE(SUBSTITUTE('STANDAR RESEP'!A63, " ", "_"), "(", ""), ")", ""))))</f>
        <v>Nasi Daun Jeruk (Beras Premium)</v>
      </c>
      <c r="Z56" s="17" t="s">
        <v>14</v>
      </c>
      <c r="AA56" s="17" t="s">
        <v>17</v>
      </c>
      <c r="AB56" s="17" t="s">
        <v>18</v>
      </c>
      <c r="AC56" s="17" t="s">
        <v>15</v>
      </c>
      <c r="AD56" s="17" t="s">
        <v>16</v>
      </c>
      <c r="AE56" s="17" t="s">
        <v>9</v>
      </c>
      <c r="AF56" s="17" t="s">
        <v>11</v>
      </c>
      <c r="AG56" s="17" t="s">
        <v>19</v>
      </c>
      <c r="AH56" s="17" t="s">
        <v>20</v>
      </c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39"/>
      <c r="X57" s="17"/>
      <c r="Y57" s="40" t="str">
        <f t="array" ref="Y57:AMX57">IF('STANDAR RESEP'!A64="", "", TRANSPOSE(INDIRECT(SUBSTITUTE(SUBSTITUTE(SUBSTITUTE('STANDAR RESEP'!A64, " ", "_"), "(", ""), ")", ""))))</f>
        <v>Nasi Daun Jeruk (Beras Premium)</v>
      </c>
      <c r="Z57" s="17" t="s">
        <v>14</v>
      </c>
      <c r="AA57" s="17" t="s">
        <v>17</v>
      </c>
      <c r="AB57" s="17" t="s">
        <v>18</v>
      </c>
      <c r="AC57" s="17" t="s">
        <v>15</v>
      </c>
      <c r="AD57" s="17" t="s">
        <v>16</v>
      </c>
      <c r="AE57" s="17" t="s">
        <v>9</v>
      </c>
      <c r="AF57" s="17" t="s">
        <v>11</v>
      </c>
      <c r="AG57" s="17" t="s">
        <v>19</v>
      </c>
      <c r="AH57" s="17" t="s">
        <v>20</v>
      </c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39"/>
      <c r="X58" s="17"/>
      <c r="Y58" s="40" t="str">
        <f t="array" ref="Y58:AMX58">IF('STANDAR RESEP'!A65="", "", TRANSPOSE(INDIRECT(SUBSTITUTE(SUBSTITUTE(SUBSTITUTE('STANDAR RESEP'!A65, " ", "_"), "(", ""), ")", ""))))</f>
        <v>Nasi Daun Jeruk (Beras Premium)</v>
      </c>
      <c r="Z58" s="17" t="s">
        <v>14</v>
      </c>
      <c r="AA58" s="17" t="s">
        <v>17</v>
      </c>
      <c r="AB58" s="17" t="s">
        <v>18</v>
      </c>
      <c r="AC58" s="17" t="s">
        <v>15</v>
      </c>
      <c r="AD58" s="17" t="s">
        <v>16</v>
      </c>
      <c r="AE58" s="17" t="s">
        <v>9</v>
      </c>
      <c r="AF58" s="17" t="s">
        <v>11</v>
      </c>
      <c r="AG58" s="17" t="s">
        <v>19</v>
      </c>
      <c r="AH58" s="17" t="s">
        <v>20</v>
      </c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39"/>
      <c r="X59" s="17"/>
      <c r="Y59" s="40" t="str">
        <f t="array" ref="Y59:AMX59">IF('STANDAR RESEP'!A66="", "", TRANSPOSE(INDIRECT(SUBSTITUTE(SUBSTITUTE(SUBSTITUTE('STANDAR RESEP'!A66, " ", "_"), "(", ""), ")", ""))))</f>
        <v>Nasi Daun Jeruk (Beras Premium)</v>
      </c>
      <c r="Z59" s="17" t="s">
        <v>14</v>
      </c>
      <c r="AA59" s="17" t="s">
        <v>17</v>
      </c>
      <c r="AB59" s="17" t="s">
        <v>18</v>
      </c>
      <c r="AC59" s="17" t="s">
        <v>15</v>
      </c>
      <c r="AD59" s="17" t="s">
        <v>16</v>
      </c>
      <c r="AE59" s="17" t="s">
        <v>9</v>
      </c>
      <c r="AF59" s="17" t="s">
        <v>11</v>
      </c>
      <c r="AG59" s="17" t="s">
        <v>19</v>
      </c>
      <c r="AH59" s="17" t="s">
        <v>20</v>
      </c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39"/>
      <c r="X60" s="17"/>
      <c r="Y60" s="40" t="str">
        <f t="array" ref="Y60:AMX60">IF('STANDAR RESEP'!A67="", "", TRANSPOSE(INDIRECT(SUBSTITUTE(SUBSTITUTE(SUBSTITUTE('STANDAR RESEP'!A67, " ", "_"), "(", ""), ")", ""))))</f>
        <v>Nasi Daun Jeruk (Beras Premium)</v>
      </c>
      <c r="Z60" s="17" t="s">
        <v>14</v>
      </c>
      <c r="AA60" s="17" t="s">
        <v>17</v>
      </c>
      <c r="AB60" s="17" t="s">
        <v>18</v>
      </c>
      <c r="AC60" s="17" t="s">
        <v>15</v>
      </c>
      <c r="AD60" s="17" t="s">
        <v>16</v>
      </c>
      <c r="AE60" s="17" t="s">
        <v>9</v>
      </c>
      <c r="AF60" s="17" t="s">
        <v>11</v>
      </c>
      <c r="AG60" s="17" t="s">
        <v>19</v>
      </c>
      <c r="AH60" s="17" t="s">
        <v>20</v>
      </c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39"/>
      <c r="X61" s="17"/>
      <c r="Y61" s="40" t="str">
        <f t="array" ref="Y61:AMX61">IF('STANDAR RESEP'!A68="", "", TRANSPOSE(INDIRECT(SUBSTITUTE(SUBSTITUTE(SUBSTITUTE('STANDAR RESEP'!A68, " ", "_"), "(", ""), ")", ""))))</f>
        <v>Nasi Daun Jeruk (Beras Premium)</v>
      </c>
      <c r="Z61" s="17" t="s">
        <v>14</v>
      </c>
      <c r="AA61" s="17" t="s">
        <v>17</v>
      </c>
      <c r="AB61" s="17" t="s">
        <v>18</v>
      </c>
      <c r="AC61" s="17" t="s">
        <v>15</v>
      </c>
      <c r="AD61" s="17" t="s">
        <v>16</v>
      </c>
      <c r="AE61" s="17" t="s">
        <v>9</v>
      </c>
      <c r="AF61" s="17" t="s">
        <v>11</v>
      </c>
      <c r="AG61" s="17" t="s">
        <v>19</v>
      </c>
      <c r="AH61" s="17" t="s">
        <v>20</v>
      </c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39"/>
      <c r="X62" s="17"/>
      <c r="Y62" s="40" t="str">
        <f t="array" ref="Y62:AMX62">IF('STANDAR RESEP'!A69="", "", TRANSPOSE(INDIRECT(SUBSTITUTE(SUBSTITUTE(SUBSTITUTE('STANDAR RESEP'!A69, " ", "_"), "(", ""), ")", ""))))</f>
        <v>Ayam Kecap</v>
      </c>
      <c r="Z62" s="17" t="s">
        <v>28</v>
      </c>
      <c r="AA62" s="17" t="s">
        <v>22</v>
      </c>
      <c r="AB62" s="17" t="s">
        <v>27</v>
      </c>
      <c r="AC62" s="17" t="s">
        <v>25</v>
      </c>
      <c r="AD62" s="17" t="s">
        <v>26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39"/>
      <c r="X63" s="17"/>
      <c r="Y63" s="40" t="str">
        <f t="array" ref="Y63:AMX63">IF('STANDAR RESEP'!A70="", "", TRANSPOSE(INDIRECT(SUBSTITUTE(SUBSTITUTE(SUBSTITUTE('STANDAR RESEP'!A70, " ", "_"), "(", ""), ")", ""))))</f>
        <v>Ayam Kecap</v>
      </c>
      <c r="Z63" s="17" t="s">
        <v>28</v>
      </c>
      <c r="AA63" s="17" t="s">
        <v>22</v>
      </c>
      <c r="AB63" s="17" t="s">
        <v>27</v>
      </c>
      <c r="AC63" s="17" t="s">
        <v>25</v>
      </c>
      <c r="AD63" s="17" t="s">
        <v>26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39"/>
      <c r="X64" s="17"/>
      <c r="Y64" s="40" t="str">
        <f t="array" ref="Y64:AMX64">IF('STANDAR RESEP'!A71="", "", TRANSPOSE(INDIRECT(SUBSTITUTE(SUBSTITUTE(SUBSTITUTE('STANDAR RESEP'!A71, " ", "_"), "(", ""), ")", ""))))</f>
        <v>Ayam Kecap</v>
      </c>
      <c r="Z64" s="17" t="s">
        <v>28</v>
      </c>
      <c r="AA64" s="17" t="s">
        <v>22</v>
      </c>
      <c r="AB64" s="17" t="s">
        <v>27</v>
      </c>
      <c r="AC64" s="17" t="s">
        <v>25</v>
      </c>
      <c r="AD64" s="17" t="s">
        <v>26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39"/>
      <c r="X65" s="17"/>
      <c r="Y65" s="40" t="str">
        <f t="array" ref="Y65:AMX65">IF('STANDAR RESEP'!A72="", "", TRANSPOSE(INDIRECT(SUBSTITUTE(SUBSTITUTE(SUBSTITUTE('STANDAR RESEP'!A72, " ", "_"), "(", ""), ")", ""))))</f>
        <v>Ayam Kecap</v>
      </c>
      <c r="Z65" s="17" t="s">
        <v>28</v>
      </c>
      <c r="AA65" s="17" t="s">
        <v>22</v>
      </c>
      <c r="AB65" s="17" t="s">
        <v>27</v>
      </c>
      <c r="AC65" s="17" t="s">
        <v>25</v>
      </c>
      <c r="AD65" s="17" t="s">
        <v>26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39"/>
      <c r="X66" s="17"/>
      <c r="Y66" s="40" t="str">
        <f t="array" ref="Y66:AMX66">IF('STANDAR RESEP'!A73="", "", TRANSPOSE(INDIRECT(SUBSTITUTE(SUBSTITUTE(SUBSTITUTE('STANDAR RESEP'!A73, " ", "_"), "(", ""), ")", ""))))</f>
        <v>Ayam Kecap</v>
      </c>
      <c r="Z66" s="17" t="s">
        <v>28</v>
      </c>
      <c r="AA66" s="17" t="s">
        <v>22</v>
      </c>
      <c r="AB66" s="17" t="s">
        <v>27</v>
      </c>
      <c r="AC66" s="17" t="s">
        <v>25</v>
      </c>
      <c r="AD66" s="17" t="s">
        <v>26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39"/>
      <c r="X67" s="17"/>
      <c r="Y67" s="40" t="str">
        <f t="array" ref="Y67:AMX67">IF('STANDAR RESEP'!A74="", "", TRANSPOSE(INDIRECT(SUBSTITUTE(SUBSTITUTE(SUBSTITUTE('STANDAR RESEP'!A74, " ", "_"), "(", ""), ")", ""))))</f>
        <v>Ayam Kecap</v>
      </c>
      <c r="Z67" s="17" t="s">
        <v>28</v>
      </c>
      <c r="AA67" s="17" t="s">
        <v>22</v>
      </c>
      <c r="AB67" s="17" t="s">
        <v>27</v>
      </c>
      <c r="AC67" s="17" t="s">
        <v>25</v>
      </c>
      <c r="AD67" s="17" t="s">
        <v>26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39"/>
      <c r="X68" s="17"/>
      <c r="Y68" s="40" t="str">
        <f t="array" ref="Y68:AMX68">IF('STANDAR RESEP'!A75="", "", TRANSPOSE(INDIRECT(SUBSTITUTE(SUBSTITUTE(SUBSTITUTE('STANDAR RESEP'!A75, " ", "_"), "(", ""), ")", ""))))</f>
        <v>Ayam Kecap</v>
      </c>
      <c r="Z68" s="17" t="s">
        <v>28</v>
      </c>
      <c r="AA68" s="17" t="s">
        <v>22</v>
      </c>
      <c r="AB68" s="17" t="s">
        <v>27</v>
      </c>
      <c r="AC68" s="17" t="s">
        <v>25</v>
      </c>
      <c r="AD68" s="17" t="s">
        <v>26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39"/>
      <c r="X69" s="17"/>
      <c r="Y69" s="40" t="str">
        <f t="array" ref="Y69:AMX69">IF('STANDAR RESEP'!A76="", "", TRANSPOSE(INDIRECT(SUBSTITUTE(SUBSTITUTE(SUBSTITUTE('STANDAR RESEP'!A76, " ", "_"), "(", ""), ")", ""))))</f>
        <v>Ayam Kecap</v>
      </c>
      <c r="Z69" s="17" t="s">
        <v>28</v>
      </c>
      <c r="AA69" s="17" t="s">
        <v>22</v>
      </c>
      <c r="AB69" s="17" t="s">
        <v>27</v>
      </c>
      <c r="AC69" s="17" t="s">
        <v>25</v>
      </c>
      <c r="AD69" s="17" t="s">
        <v>26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39"/>
      <c r="X70" s="17"/>
      <c r="Y70" s="40" t="str">
        <f t="array" ref="Y70:AMX70">IF('STANDAR RESEP'!A77="", "", TRANSPOSE(INDIRECT(SUBSTITUTE(SUBSTITUTE(SUBSTITUTE('STANDAR RESEP'!A77, " ", "_"), "(", ""), ")", ""))))</f>
        <v>Ayam Kecap</v>
      </c>
      <c r="Z70" s="17" t="s">
        <v>28</v>
      </c>
      <c r="AA70" s="17" t="s">
        <v>22</v>
      </c>
      <c r="AB70" s="17" t="s">
        <v>27</v>
      </c>
      <c r="AC70" s="17" t="s">
        <v>25</v>
      </c>
      <c r="AD70" s="17" t="s">
        <v>26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39"/>
      <c r="X71" s="17"/>
      <c r="Y71" s="40" t="str">
        <f t="array" ref="Y71:AMX71">IF('STANDAR RESEP'!A78="", "", TRANSPOSE(INDIRECT(SUBSTITUTE(SUBSTITUTE(SUBSTITUTE('STANDAR RESEP'!A78, " ", "_"), "(", ""), ")", ""))))</f>
        <v>Ayam Kecap</v>
      </c>
      <c r="Z71" s="17" t="s">
        <v>28</v>
      </c>
      <c r="AA71" s="17" t="s">
        <v>22</v>
      </c>
      <c r="AB71" s="17" t="s">
        <v>27</v>
      </c>
      <c r="AC71" s="17" t="s">
        <v>25</v>
      </c>
      <c r="AD71" s="17" t="s">
        <v>26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39"/>
      <c r="X72" s="17"/>
      <c r="Y72" s="40" t="str">
        <f t="array" ref="Y72:AMX72">IF('STANDAR RESEP'!A79="", "", TRANSPOSE(INDIRECT(SUBSTITUTE(SUBSTITUTE(SUBSTITUTE('STANDAR RESEP'!A79, " ", "_"), "(", ""), ")", ""))))</f>
        <v>Ayam Kecap</v>
      </c>
      <c r="Z72" s="17" t="s">
        <v>28</v>
      </c>
      <c r="AA72" s="17" t="s">
        <v>22</v>
      </c>
      <c r="AB72" s="17" t="s">
        <v>27</v>
      </c>
      <c r="AC72" s="17" t="s">
        <v>25</v>
      </c>
      <c r="AD72" s="17" t="s">
        <v>26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39"/>
      <c r="X73" s="17"/>
      <c r="Y73" s="40" t="str">
        <f t="array" ref="Y73:AMX73">IF('STANDAR RESEP'!A80="", "", TRANSPOSE(INDIRECT(SUBSTITUTE(SUBSTITUTE(SUBSTITUTE('STANDAR RESEP'!A80, " ", "_"), "(", ""), ")", ""))))</f>
        <v>Ayam Kecap</v>
      </c>
      <c r="Z73" s="17" t="s">
        <v>28</v>
      </c>
      <c r="AA73" s="17" t="s">
        <v>22</v>
      </c>
      <c r="AB73" s="17" t="s">
        <v>27</v>
      </c>
      <c r="AC73" s="17" t="s">
        <v>25</v>
      </c>
      <c r="AD73" s="17" t="s">
        <v>26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39"/>
      <c r="X74" s="17"/>
      <c r="Y74" s="40" t="str">
        <f t="array" ref="Y74:AMX74">IF('STANDAR RESEP'!A81="", "", TRANSPOSE(INDIRECT(SUBSTITUTE(SUBSTITUTE(SUBSTITUTE('STANDAR RESEP'!A81, " ", "_"), "(", ""), ")", ""))))</f>
        <v>Ayam Kecap</v>
      </c>
      <c r="Z74" s="17" t="s">
        <v>28</v>
      </c>
      <c r="AA74" s="17" t="s">
        <v>22</v>
      </c>
      <c r="AB74" s="17" t="s">
        <v>27</v>
      </c>
      <c r="AC74" s="17" t="s">
        <v>25</v>
      </c>
      <c r="AD74" s="17" t="s">
        <v>26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39"/>
      <c r="X75" s="17"/>
      <c r="Y75" s="40" t="str">
        <f t="array" ref="Y75:AMX75">IF('STANDAR RESEP'!A83="", "", TRANSPOSE(INDIRECT(SUBSTITUTE(SUBSTITUTE(SUBSTITUTE('STANDAR RESEP'!A83, " ", "_"), "(", ""), ")", ""))))</f>
        <v>Ayam Kecap</v>
      </c>
      <c r="Z75" s="17" t="s">
        <v>28</v>
      </c>
      <c r="AA75" s="17" t="s">
        <v>22</v>
      </c>
      <c r="AB75" s="17" t="s">
        <v>27</v>
      </c>
      <c r="AC75" s="17" t="s">
        <v>25</v>
      </c>
      <c r="AD75" s="17" t="s">
        <v>26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39"/>
      <c r="X76" s="17"/>
      <c r="Y76" s="40" t="str">
        <f t="array" ref="Y76:AMX76">IF('STANDAR RESEP'!A84="", "", TRANSPOSE(INDIRECT(SUBSTITUTE(SUBSTITUTE(SUBSTITUTE('STANDAR RESEP'!A84, " ", "_"), "(", ""), ")", ""))))</f>
        <v>Ayam Kecap</v>
      </c>
      <c r="Z76" s="17" t="s">
        <v>28</v>
      </c>
      <c r="AA76" s="17" t="s">
        <v>22</v>
      </c>
      <c r="AB76" s="17" t="s">
        <v>27</v>
      </c>
      <c r="AC76" s="17" t="s">
        <v>25</v>
      </c>
      <c r="AD76" s="17" t="s">
        <v>26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39"/>
      <c r="X77" s="17"/>
      <c r="Y77" s="40" t="str">
        <f t="array" ref="Y77:AMX77">IF('STANDAR RESEP'!A85="", "", TRANSPOSE(INDIRECT(SUBSTITUTE(SUBSTITUTE(SUBSTITUTE('STANDAR RESEP'!A85, " ", "_"), "(", ""), ")", ""))))</f>
        <v>Ayam Kecap</v>
      </c>
      <c r="Z77" s="17" t="s">
        <v>28</v>
      </c>
      <c r="AA77" s="17" t="s">
        <v>22</v>
      </c>
      <c r="AB77" s="17" t="s">
        <v>27</v>
      </c>
      <c r="AC77" s="17" t="s">
        <v>25</v>
      </c>
      <c r="AD77" s="17" t="s">
        <v>26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39"/>
      <c r="X78" s="17"/>
      <c r="Y78" s="40" t="str">
        <f t="array" ref="Y78:AMX78">IF('STANDAR RESEP'!A86="", "", TRANSPOSE(INDIRECT(SUBSTITUTE(SUBSTITUTE(SUBSTITUTE('STANDAR RESEP'!A86, " ", "_"), "(", ""), ")", ""))))</f>
        <v>Ayam Kecap</v>
      </c>
      <c r="Z78" s="17" t="s">
        <v>28</v>
      </c>
      <c r="AA78" s="17" t="s">
        <v>22</v>
      </c>
      <c r="AB78" s="17" t="s">
        <v>27</v>
      </c>
      <c r="AC78" s="17" t="s">
        <v>25</v>
      </c>
      <c r="AD78" s="17" t="s">
        <v>26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39"/>
      <c r="X79" s="17"/>
      <c r="Y79" s="40" t="str">
        <f t="array" ref="Y79:AMX79">IF('STANDAR RESEP'!A87="", "", TRANSPOSE(INDIRECT(SUBSTITUTE(SUBSTITUTE(SUBSTITUTE('STANDAR RESEP'!A87, " ", "_"), "(", ""), ")", ""))))</f>
        <v>Ayam Kecap</v>
      </c>
      <c r="Z79" s="17" t="s">
        <v>28</v>
      </c>
      <c r="AA79" s="17" t="s">
        <v>22</v>
      </c>
      <c r="AB79" s="17" t="s">
        <v>27</v>
      </c>
      <c r="AC79" s="17" t="s">
        <v>25</v>
      </c>
      <c r="AD79" s="17" t="s">
        <v>26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39"/>
      <c r="X80" s="17"/>
      <c r="Y80" s="40" t="str">
        <f t="array" ref="Y80:AMX80">IF('STANDAR RESEP'!A88="", "", TRANSPOSE(INDIRECT(SUBSTITUTE(SUBSTITUTE(SUBSTITUTE('STANDAR RESEP'!A88, " ", "_"), "(", ""), ")", ""))))</f>
        <v>Ayam Kecap</v>
      </c>
      <c r="Z80" s="17" t="s">
        <v>28</v>
      </c>
      <c r="AA80" s="17" t="s">
        <v>22</v>
      </c>
      <c r="AB80" s="17" t="s">
        <v>27</v>
      </c>
      <c r="AC80" s="17" t="s">
        <v>25</v>
      </c>
      <c r="AD80" s="17" t="s">
        <v>26</v>
      </c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39"/>
      <c r="X81" s="17"/>
      <c r="Y81" s="40" t="str">
        <f t="array" ref="Y81:AMX81">IF('STANDAR RESEP'!A89="", "", TRANSPOSE(INDIRECT(SUBSTITUTE(SUBSTITUTE(SUBSTITUTE('STANDAR RESEP'!A89, " ", "_"), "(", ""), ")", ""))))</f>
        <v>Ayam Kecap</v>
      </c>
      <c r="Z81" s="17" t="s">
        <v>28</v>
      </c>
      <c r="AA81" s="17" t="s">
        <v>22</v>
      </c>
      <c r="AB81" s="17" t="s">
        <v>27</v>
      </c>
      <c r="AC81" s="17" t="s">
        <v>25</v>
      </c>
      <c r="AD81" s="17" t="s">
        <v>26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39"/>
      <c r="X82" s="17"/>
      <c r="Y82" s="40" t="str">
        <f t="array" ref="Y82:AMX82">IF('STANDAR RESEP'!A90="", "", TRANSPOSE(INDIRECT(SUBSTITUTE(SUBSTITUTE(SUBSTITUTE('STANDAR RESEP'!A90, " ", "_"), "(", ""), ")", ""))))</f>
        <v>Ayam Kecap</v>
      </c>
      <c r="Z82" s="17" t="s">
        <v>28</v>
      </c>
      <c r="AA82" s="17" t="s">
        <v>22</v>
      </c>
      <c r="AB82" s="17" t="s">
        <v>27</v>
      </c>
      <c r="AC82" s="17" t="s">
        <v>25</v>
      </c>
      <c r="AD82" s="17" t="s">
        <v>26</v>
      </c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39"/>
      <c r="X83" s="17"/>
      <c r="Y83" s="40" t="str">
        <f t="array" ref="Y83:AMX83">IF('STANDAR RESEP'!A91="", "", TRANSPOSE(INDIRECT(SUBSTITUTE(SUBSTITUTE(SUBSTITUTE('STANDAR RESEP'!A91, " ", "_"), "(", ""), ")", ""))))</f>
        <v>Ayam Kecap</v>
      </c>
      <c r="Z83" s="17" t="s">
        <v>28</v>
      </c>
      <c r="AA83" s="17" t="s">
        <v>22</v>
      </c>
      <c r="AB83" s="17" t="s">
        <v>27</v>
      </c>
      <c r="AC83" s="17" t="s">
        <v>25</v>
      </c>
      <c r="AD83" s="17" t="s">
        <v>26</v>
      </c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39"/>
      <c r="X84" s="17"/>
      <c r="Y84" s="40" t="str">
        <f t="array" ref="Y84:AMX84">IF('STANDAR RESEP'!A93="", "", TRANSPOSE(INDIRECT(SUBSTITUTE(SUBSTITUTE(SUBSTITUTE('STANDAR RESEP'!A93, " ", "_"), "(", ""), ")", ""))))</f>
        <v>Ayam Kecap</v>
      </c>
      <c r="Z84" s="17" t="s">
        <v>28</v>
      </c>
      <c r="AA84" s="17" t="s">
        <v>22</v>
      </c>
      <c r="AB84" s="17" t="s">
        <v>27</v>
      </c>
      <c r="AC84" s="17" t="s">
        <v>25</v>
      </c>
      <c r="AD84" s="17" t="s">
        <v>26</v>
      </c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39"/>
      <c r="X85" s="17"/>
      <c r="Y85" s="40" t="str">
        <f t="array" ref="Y85:AMX85">IF('STANDAR RESEP'!A94="", "", TRANSPOSE(INDIRECT(SUBSTITUTE(SUBSTITUTE(SUBSTITUTE('STANDAR RESEP'!A94, " ", "_"), "(", ""), ")", ""))))</f>
        <v>Ayam Kecap</v>
      </c>
      <c r="Z85" s="17" t="s">
        <v>28</v>
      </c>
      <c r="AA85" s="17" t="s">
        <v>22</v>
      </c>
      <c r="AB85" s="17" t="s">
        <v>27</v>
      </c>
      <c r="AC85" s="17" t="s">
        <v>25</v>
      </c>
      <c r="AD85" s="17" t="s">
        <v>26</v>
      </c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39"/>
      <c r="X86" s="17"/>
      <c r="Y86" s="40" t="str">
        <f t="array" ref="Y86:AMX86">IF('STANDAR RESEP'!A95="", "", TRANSPOSE(INDIRECT(SUBSTITUTE(SUBSTITUTE(SUBSTITUTE('STANDAR RESEP'!A95, " ", "_"), "(", ""), ")", ""))))</f>
        <v>Ayam Kecap</v>
      </c>
      <c r="Z86" s="17" t="s">
        <v>28</v>
      </c>
      <c r="AA86" s="17" t="s">
        <v>22</v>
      </c>
      <c r="AB86" s="17" t="s">
        <v>27</v>
      </c>
      <c r="AC86" s="17" t="s">
        <v>25</v>
      </c>
      <c r="AD86" s="17" t="s">
        <v>26</v>
      </c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39"/>
      <c r="X87" s="17"/>
      <c r="Y87" s="40" t="str">
        <f t="array" ref="Y87:AMX87">IF('STANDAR RESEP'!A96="", "", TRANSPOSE(INDIRECT(SUBSTITUTE(SUBSTITUTE(SUBSTITUTE('STANDAR RESEP'!A96, " ", "_"), "(", ""), ")", ""))))</f>
        <v>Ayam Kecap</v>
      </c>
      <c r="Z87" s="17" t="s">
        <v>28</v>
      </c>
      <c r="AA87" s="17" t="s">
        <v>22</v>
      </c>
      <c r="AB87" s="17" t="s">
        <v>27</v>
      </c>
      <c r="AC87" s="17" t="s">
        <v>25</v>
      </c>
      <c r="AD87" s="17" t="s">
        <v>26</v>
      </c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39"/>
      <c r="X88" s="17"/>
      <c r="Y88" s="40" t="str">
        <f t="array" ref="Y88:AMX88">IF('STANDAR RESEP'!A97="", "", TRANSPOSE(INDIRECT(SUBSTITUTE(SUBSTITUTE(SUBSTITUTE('STANDAR RESEP'!A97, " ", "_"), "(", ""), ")", ""))))</f>
        <v>Ayam Kecap</v>
      </c>
      <c r="Z88" s="17" t="s">
        <v>28</v>
      </c>
      <c r="AA88" s="17" t="s">
        <v>22</v>
      </c>
      <c r="AB88" s="17" t="s">
        <v>27</v>
      </c>
      <c r="AC88" s="17" t="s">
        <v>25</v>
      </c>
      <c r="AD88" s="17" t="s">
        <v>26</v>
      </c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39"/>
      <c r="X89" s="17"/>
      <c r="Y89" s="40" t="str">
        <f t="array" ref="Y89:AMX89">IF('STANDAR RESEP'!A98="", "", TRANSPOSE(INDIRECT(SUBSTITUTE(SUBSTITUTE(SUBSTITUTE('STANDAR RESEP'!A98, " ", "_"), "(", ""), ")", ""))))</f>
        <v>Ayam Kecap</v>
      </c>
      <c r="Z89" s="17" t="s">
        <v>28</v>
      </c>
      <c r="AA89" s="17" t="s">
        <v>22</v>
      </c>
      <c r="AB89" s="17" t="s">
        <v>27</v>
      </c>
      <c r="AC89" s="17" t="s">
        <v>25</v>
      </c>
      <c r="AD89" s="17" t="s">
        <v>26</v>
      </c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39"/>
      <c r="X90" s="17"/>
      <c r="Y90" s="40" t="str">
        <f t="array" ref="Y90:AMX90">IF('STANDAR RESEP'!A99="", "", TRANSPOSE(INDIRECT(SUBSTITUTE(SUBSTITUTE(SUBSTITUTE('STANDAR RESEP'!A99, " ", "_"), "(", ""), ")", ""))))</f>
        <v>Ayam Kecap</v>
      </c>
      <c r="Z90" s="17" t="s">
        <v>28</v>
      </c>
      <c r="AA90" s="17" t="s">
        <v>22</v>
      </c>
      <c r="AB90" s="17" t="s">
        <v>27</v>
      </c>
      <c r="AC90" s="17" t="s">
        <v>25</v>
      </c>
      <c r="AD90" s="17" t="s">
        <v>26</v>
      </c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39"/>
      <c r="X91" s="17"/>
      <c r="Y91" s="40" t="str">
        <f t="array" ref="Y91:AMX91">IF('STANDAR RESEP'!A100="", "", TRANSPOSE(INDIRECT(SUBSTITUTE(SUBSTITUTE(SUBSTITUTE('STANDAR RESEP'!A100, " ", "_"), "(", ""), ")", ""))))</f>
        <v>Ayam Kecap</v>
      </c>
      <c r="Z91" s="17" t="s">
        <v>28</v>
      </c>
      <c r="AA91" s="17" t="s">
        <v>22</v>
      </c>
      <c r="AB91" s="17" t="s">
        <v>27</v>
      </c>
      <c r="AC91" s="17" t="s">
        <v>25</v>
      </c>
      <c r="AD91" s="17" t="s">
        <v>26</v>
      </c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39"/>
      <c r="X92" s="17"/>
      <c r="Y92" s="40" t="str">
        <f t="array" ref="Y92:AMX92">IF('STANDAR RESEP'!A101="", "", TRANSPOSE(INDIRECT(SUBSTITUTE(SUBSTITUTE(SUBSTITUTE('STANDAR RESEP'!A101, " ", "_"), "(", ""), ")", ""))))</f>
        <v>Ayam Kecap</v>
      </c>
      <c r="Z92" s="17" t="s">
        <v>28</v>
      </c>
      <c r="AA92" s="17" t="s">
        <v>22</v>
      </c>
      <c r="AB92" s="17" t="s">
        <v>27</v>
      </c>
      <c r="AC92" s="17" t="s">
        <v>25</v>
      </c>
      <c r="AD92" s="17" t="s">
        <v>26</v>
      </c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39"/>
      <c r="X93" s="17"/>
      <c r="Y93" s="40" t="str">
        <f t="array" ref="Y93:AMX93">IF('STANDAR RESEP'!A102="", "", TRANSPOSE(INDIRECT(SUBSTITUTE(SUBSTITUTE(SUBSTITUTE('STANDAR RESEP'!A102, " ", "_"), "(", ""), ")", ""))))</f>
        <v>Ayam Kecap</v>
      </c>
      <c r="Z93" s="17" t="s">
        <v>28</v>
      </c>
      <c r="AA93" s="17" t="s">
        <v>22</v>
      </c>
      <c r="AB93" s="17" t="s">
        <v>27</v>
      </c>
      <c r="AC93" s="17" t="s">
        <v>25</v>
      </c>
      <c r="AD93" s="17" t="s">
        <v>26</v>
      </c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39"/>
      <c r="X94" s="17"/>
      <c r="Y94" s="40" t="str">
        <f t="array" ref="Y94:AMX94">IF('STANDAR RESEP'!A103="", "", TRANSPOSE(INDIRECT(SUBSTITUTE(SUBSTITUTE(SUBSTITUTE('STANDAR RESEP'!A103, " ", "_"), "(", ""), ")", ""))))</f>
        <v>Ayam Kecap</v>
      </c>
      <c r="Z94" s="17" t="s">
        <v>28</v>
      </c>
      <c r="AA94" s="17" t="s">
        <v>22</v>
      </c>
      <c r="AB94" s="17" t="s">
        <v>27</v>
      </c>
      <c r="AC94" s="17" t="s">
        <v>25</v>
      </c>
      <c r="AD94" s="17" t="s">
        <v>26</v>
      </c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39"/>
      <c r="X95" s="17"/>
      <c r="Y95" s="40" t="str">
        <f t="array" ref="Y95:AMX95">IF('STANDAR RESEP'!A105="", "", TRANSPOSE(INDIRECT(SUBSTITUTE(SUBSTITUTE(SUBSTITUTE('STANDAR RESEP'!A105, " ", "_"), "(", ""), ")", ""))))</f>
        <v>Ayam Kecap</v>
      </c>
      <c r="Z95" s="17" t="s">
        <v>28</v>
      </c>
      <c r="AA95" s="17" t="s">
        <v>22</v>
      </c>
      <c r="AB95" s="17" t="s">
        <v>27</v>
      </c>
      <c r="AC95" s="17" t="s">
        <v>25</v>
      </c>
      <c r="AD95" s="17" t="s">
        <v>26</v>
      </c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39"/>
      <c r="X96" s="17"/>
      <c r="Y96" s="40" t="str">
        <f t="array" ref="Y96:AMX96">IF('STANDAR RESEP'!A106="", "", TRANSPOSE(INDIRECT(SUBSTITUTE(SUBSTITUTE(SUBSTITUTE('STANDAR RESEP'!A106, " ", "_"), "(", ""), ")", ""))))</f>
        <v>Ayam Kecap</v>
      </c>
      <c r="Z96" s="17" t="s">
        <v>28</v>
      </c>
      <c r="AA96" s="17" t="s">
        <v>22</v>
      </c>
      <c r="AB96" s="17" t="s">
        <v>27</v>
      </c>
      <c r="AC96" s="17" t="s">
        <v>25</v>
      </c>
      <c r="AD96" s="17" t="s">
        <v>26</v>
      </c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39"/>
      <c r="X97" s="17"/>
      <c r="Y97" s="40" t="str">
        <f t="array" ref="Y97:AMX97">IF('STANDAR RESEP'!A107="", "", TRANSPOSE(INDIRECT(SUBSTITUTE(SUBSTITUTE(SUBSTITUTE('STANDAR RESEP'!A107, " ", "_"), "(", ""), ")", ""))))</f>
        <v>Ayam Kecap</v>
      </c>
      <c r="Z97" s="17" t="s">
        <v>28</v>
      </c>
      <c r="AA97" s="17" t="s">
        <v>22</v>
      </c>
      <c r="AB97" s="17" t="s">
        <v>27</v>
      </c>
      <c r="AC97" s="17" t="s">
        <v>25</v>
      </c>
      <c r="AD97" s="17" t="s">
        <v>26</v>
      </c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39"/>
      <c r="X98" s="17"/>
      <c r="Y98" s="40" t="str">
        <f t="array" ref="Y98:AMX98">IF('STANDAR RESEP'!A108="", "", TRANSPOSE(INDIRECT(SUBSTITUTE(SUBSTITUTE(SUBSTITUTE('STANDAR RESEP'!A108, " ", "_"), "(", ""), ")", ""))))</f>
        <v>Ayam Kecap</v>
      </c>
      <c r="Z98" s="17" t="s">
        <v>28</v>
      </c>
      <c r="AA98" s="17" t="s">
        <v>22</v>
      </c>
      <c r="AB98" s="17" t="s">
        <v>27</v>
      </c>
      <c r="AC98" s="17" t="s">
        <v>25</v>
      </c>
      <c r="AD98" s="17" t="s">
        <v>26</v>
      </c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39"/>
      <c r="X99" s="17"/>
      <c r="Y99" s="40" t="str">
        <f t="array" ref="Y99:AMX99">IF('STANDAR RESEP'!A109="", "", TRANSPOSE(INDIRECT(SUBSTITUTE(SUBSTITUTE(SUBSTITUTE('STANDAR RESEP'!A109, " ", "_"), "(", ""), ")", ""))))</f>
        <v>Ayam Kecap</v>
      </c>
      <c r="Z99" s="17" t="s">
        <v>28</v>
      </c>
      <c r="AA99" s="17" t="s">
        <v>22</v>
      </c>
      <c r="AB99" s="17" t="s">
        <v>27</v>
      </c>
      <c r="AC99" s="17" t="s">
        <v>25</v>
      </c>
      <c r="AD99" s="17" t="s">
        <v>26</v>
      </c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39"/>
      <c r="X100" s="17"/>
      <c r="Y100" s="40" t="str">
        <f t="array" ref="Y100:AMX100">IF('STANDAR RESEP'!A110="", "", TRANSPOSE(INDIRECT(SUBSTITUTE(SUBSTITUTE(SUBSTITUTE('STANDAR RESEP'!A110, " ", "_"), "(", ""), ")", ""))))</f>
        <v>Ayam Kecap</v>
      </c>
      <c r="Z100" s="17" t="s">
        <v>28</v>
      </c>
      <c r="AA100" s="17" t="s">
        <v>22</v>
      </c>
      <c r="AB100" s="17" t="s">
        <v>27</v>
      </c>
      <c r="AC100" s="17" t="s">
        <v>25</v>
      </c>
      <c r="AD100" s="17" t="s">
        <v>26</v>
      </c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39"/>
      <c r="X101" s="17"/>
      <c r="Y101" s="40" t="str">
        <f t="array" ref="Y101:AMX101">IF('STANDAR RESEP'!A111="", "", TRANSPOSE(INDIRECT(SUBSTITUTE(SUBSTITUTE(SUBSTITUTE('STANDAR RESEP'!A111, " ", "_"), "(", ""), ")", ""))))</f>
        <v>Ayam Kecap</v>
      </c>
      <c r="Z101" s="17" t="s">
        <v>28</v>
      </c>
      <c r="AA101" s="17" t="s">
        <v>22</v>
      </c>
      <c r="AB101" s="17" t="s">
        <v>27</v>
      </c>
      <c r="AC101" s="17" t="s">
        <v>25</v>
      </c>
      <c r="AD101" s="17" t="s">
        <v>26</v>
      </c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39"/>
      <c r="X102" s="17"/>
      <c r="Y102" s="40" t="str">
        <f t="array" ref="Y102:AMX102">IF('STANDAR RESEP'!A112="", "", TRANSPOSE(INDIRECT(SUBSTITUTE(SUBSTITUTE(SUBSTITUTE('STANDAR RESEP'!A112, " ", "_"), "(", ""), ")", ""))))</f>
        <v>Ayam Kecap</v>
      </c>
      <c r="Z102" s="17" t="s">
        <v>28</v>
      </c>
      <c r="AA102" s="17" t="s">
        <v>22</v>
      </c>
      <c r="AB102" s="17" t="s">
        <v>27</v>
      </c>
      <c r="AC102" s="17" t="s">
        <v>25</v>
      </c>
      <c r="AD102" s="17" t="s">
        <v>26</v>
      </c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39"/>
      <c r="X103" s="17"/>
      <c r="Y103" s="40" t="str">
        <f t="array" ref="Y103:AMX103">IF('STANDAR RESEP'!A113="", "", TRANSPOSE(INDIRECT(SUBSTITUTE(SUBSTITUTE(SUBSTITUTE('STANDAR RESEP'!A113, " ", "_"), "(", ""), ")", ""))))</f>
        <v>Ayam Kecap</v>
      </c>
      <c r="Z103" s="17" t="s">
        <v>28</v>
      </c>
      <c r="AA103" s="17" t="s">
        <v>22</v>
      </c>
      <c r="AB103" s="17" t="s">
        <v>27</v>
      </c>
      <c r="AC103" s="17" t="s">
        <v>25</v>
      </c>
      <c r="AD103" s="17" t="s">
        <v>26</v>
      </c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39"/>
      <c r="X104" s="17"/>
      <c r="Y104" s="40" t="str">
        <f t="array" ref="Y104:AMX104">IF('STANDAR RESEP'!A114="", "", TRANSPOSE(INDIRECT(SUBSTITUTE(SUBSTITUTE(SUBSTITUTE('STANDAR RESEP'!A114, " ", "_"), "(", ""), ")", ""))))</f>
        <v>Ayam Kecap</v>
      </c>
      <c r="Z104" s="17" t="s">
        <v>28</v>
      </c>
      <c r="AA104" s="17" t="s">
        <v>22</v>
      </c>
      <c r="AB104" s="17" t="s">
        <v>27</v>
      </c>
      <c r="AC104" s="17" t="s">
        <v>25</v>
      </c>
      <c r="AD104" s="17" t="s">
        <v>26</v>
      </c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39"/>
      <c r="X105" s="17"/>
      <c r="Y105" s="40" t="str">
        <f t="array" ref="Y105:AMX105">IF('STANDAR RESEP'!A115="", "", TRANSPOSE(INDIRECT(SUBSTITUTE(SUBSTITUTE(SUBSTITUTE('STANDAR RESEP'!A115, " ", "_"), "(", ""), ")", ""))))</f>
        <v>Ayam Kecap</v>
      </c>
      <c r="Z105" s="17" t="s">
        <v>28</v>
      </c>
      <c r="AA105" s="17" t="s">
        <v>22</v>
      </c>
      <c r="AB105" s="17" t="s">
        <v>27</v>
      </c>
      <c r="AC105" s="17" t="s">
        <v>25</v>
      </c>
      <c r="AD105" s="17" t="s">
        <v>26</v>
      </c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39"/>
      <c r="X106" s="17"/>
      <c r="Y106" s="40" t="str">
        <f t="array" ref="Y106:AMX106">IF('STANDAR RESEP'!A117="", "", TRANSPOSE(INDIRECT(SUBSTITUTE(SUBSTITUTE(SUBSTITUTE('STANDAR RESEP'!A117, " ", "_"), "(", ""), ")", ""))))</f>
        <v>Ayam Kecap</v>
      </c>
      <c r="Z106" s="17" t="s">
        <v>28</v>
      </c>
      <c r="AA106" s="17" t="s">
        <v>22</v>
      </c>
      <c r="AB106" s="17" t="s">
        <v>27</v>
      </c>
      <c r="AC106" s="17" t="s">
        <v>25</v>
      </c>
      <c r="AD106" s="17" t="s">
        <v>26</v>
      </c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39"/>
      <c r="X107" s="17"/>
      <c r="Y107" s="40" t="str">
        <f t="array" ref="Y107:AMX107">IF('STANDAR RESEP'!A118="", "", TRANSPOSE(INDIRECT(SUBSTITUTE(SUBSTITUTE(SUBSTITUTE('STANDAR RESEP'!A118, " ", "_"), "(", ""), ")", ""))))</f>
        <v>Ayam Kecap</v>
      </c>
      <c r="Z107" s="17" t="s">
        <v>28</v>
      </c>
      <c r="AA107" s="17" t="s">
        <v>22</v>
      </c>
      <c r="AB107" s="17" t="s">
        <v>27</v>
      </c>
      <c r="AC107" s="17" t="s">
        <v>25</v>
      </c>
      <c r="AD107" s="17" t="s">
        <v>26</v>
      </c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39"/>
      <c r="X108" s="17"/>
      <c r="Y108" s="40" t="str">
        <f t="array" ref="Y108:AMX108">IF('STANDAR RESEP'!A119="", "", TRANSPOSE(INDIRECT(SUBSTITUTE(SUBSTITUTE(SUBSTITUTE('STANDAR RESEP'!A119, " ", "_"), "(", ""), ")", ""))))</f>
        <v>Ayam Kecap</v>
      </c>
      <c r="Z108" s="17" t="s">
        <v>28</v>
      </c>
      <c r="AA108" s="17" t="s">
        <v>22</v>
      </c>
      <c r="AB108" s="17" t="s">
        <v>27</v>
      </c>
      <c r="AC108" s="17" t="s">
        <v>25</v>
      </c>
      <c r="AD108" s="17" t="s">
        <v>26</v>
      </c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39"/>
      <c r="X109" s="17"/>
      <c r="Y109" s="40" t="str">
        <f t="array" ref="Y109:AMX109">IF('STANDAR RESEP'!A120="", "", TRANSPOSE(INDIRECT(SUBSTITUTE(SUBSTITUTE(SUBSTITUTE('STANDAR RESEP'!A120, " ", "_"), "(", ""), ")", ""))))</f>
        <v>Ayam Kecap</v>
      </c>
      <c r="Z109" s="17" t="s">
        <v>28</v>
      </c>
      <c r="AA109" s="17" t="s">
        <v>22</v>
      </c>
      <c r="AB109" s="17" t="s">
        <v>27</v>
      </c>
      <c r="AC109" s="17" t="s">
        <v>25</v>
      </c>
      <c r="AD109" s="17" t="s">
        <v>26</v>
      </c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39"/>
      <c r="X110" s="17"/>
      <c r="Y110" s="40" t="str">
        <f t="array" ref="Y110:AMX110">IF('STANDAR RESEP'!A121="", "", TRANSPOSE(INDIRECT(SUBSTITUTE(SUBSTITUTE(SUBSTITUTE('STANDAR RESEP'!A121, " ", "_"), "(", ""), ")", ""))))</f>
        <v>Ayam Kecap</v>
      </c>
      <c r="Z110" s="17" t="s">
        <v>28</v>
      </c>
      <c r="AA110" s="17" t="s">
        <v>22</v>
      </c>
      <c r="AB110" s="17" t="s">
        <v>27</v>
      </c>
      <c r="AC110" s="17" t="s">
        <v>25</v>
      </c>
      <c r="AD110" s="17" t="s">
        <v>26</v>
      </c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39"/>
      <c r="X111" s="17"/>
      <c r="Y111" s="40" t="str">
        <f t="array" ref="Y111:AMX111">IF('STANDAR RESEP'!A122="", "", TRANSPOSE(INDIRECT(SUBSTITUTE(SUBSTITUTE(SUBSTITUTE('STANDAR RESEP'!A122, " ", "_"), "(", ""), ")", ""))))</f>
        <v>Ayam Kecap</v>
      </c>
      <c r="Z111" s="17" t="s">
        <v>28</v>
      </c>
      <c r="AA111" s="17" t="s">
        <v>22</v>
      </c>
      <c r="AB111" s="17" t="s">
        <v>27</v>
      </c>
      <c r="AC111" s="17" t="s">
        <v>25</v>
      </c>
      <c r="AD111" s="17" t="s">
        <v>26</v>
      </c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39"/>
      <c r="X112" s="17"/>
      <c r="Y112" s="40" t="str">
        <f t="array" ref="Y112:AMX112">IF('STANDAR RESEP'!A123="", "", TRANSPOSE(INDIRECT(SUBSTITUTE(SUBSTITUTE(SUBSTITUTE('STANDAR RESEP'!A123, " ", "_"), "(", ""), ")", ""))))</f>
        <v>Ayam Kecap</v>
      </c>
      <c r="Z112" s="17" t="s">
        <v>28</v>
      </c>
      <c r="AA112" s="17" t="s">
        <v>22</v>
      </c>
      <c r="AB112" s="17" t="s">
        <v>27</v>
      </c>
      <c r="AC112" s="17" t="s">
        <v>25</v>
      </c>
      <c r="AD112" s="17" t="s">
        <v>26</v>
      </c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39"/>
      <c r="X113" s="17"/>
      <c r="Y113" s="40" t="str">
        <f t="array" ref="Y113:AMX113">IF('STANDAR RESEP'!A124="", "", TRANSPOSE(INDIRECT(SUBSTITUTE(SUBSTITUTE(SUBSTITUTE('STANDAR RESEP'!A124, " ", "_"), "(", ""), ")", ""))))</f>
        <v>Ayam Kecap</v>
      </c>
      <c r="Z113" s="17" t="s">
        <v>28</v>
      </c>
      <c r="AA113" s="17" t="s">
        <v>22</v>
      </c>
      <c r="AB113" s="17" t="s">
        <v>27</v>
      </c>
      <c r="AC113" s="17" t="s">
        <v>25</v>
      </c>
      <c r="AD113" s="17" t="s">
        <v>26</v>
      </c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39"/>
      <c r="X114" s="17"/>
      <c r="Y114" s="40" t="str">
        <f t="array" ref="Y114:AMX114">IF('STANDAR RESEP'!A125="", "", TRANSPOSE(INDIRECT(SUBSTITUTE(SUBSTITUTE(SUBSTITUTE('STANDAR RESEP'!A125, " ", "_"), "(", ""), ")", ""))))</f>
        <v>Ayam Kecap</v>
      </c>
      <c r="Z114" s="17" t="s">
        <v>28</v>
      </c>
      <c r="AA114" s="17" t="s">
        <v>22</v>
      </c>
      <c r="AB114" s="17" t="s">
        <v>27</v>
      </c>
      <c r="AC114" s="17" t="s">
        <v>25</v>
      </c>
      <c r="AD114" s="17" t="s">
        <v>26</v>
      </c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39"/>
      <c r="X115" s="17"/>
      <c r="Y115" s="40" t="str">
        <f t="array" ref="Y115:AMX115">IF('STANDAR RESEP'!A126="", "", TRANSPOSE(INDIRECT(SUBSTITUTE(SUBSTITUTE(SUBSTITUTE('STANDAR RESEP'!A126, " ", "_"), "(", ""), ")", ""))))</f>
        <v>Ayam Kecap</v>
      </c>
      <c r="Z115" s="17" t="s">
        <v>28</v>
      </c>
      <c r="AA115" s="17" t="s">
        <v>22</v>
      </c>
      <c r="AB115" s="17" t="s">
        <v>27</v>
      </c>
      <c r="AC115" s="17" t="s">
        <v>25</v>
      </c>
      <c r="AD115" s="17" t="s">
        <v>26</v>
      </c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39"/>
      <c r="X116" s="17"/>
      <c r="Y116" s="40" t="str">
        <f t="array" ref="Y116:AMX116">IF('STANDAR RESEP'!A127="", "", TRANSPOSE(INDIRECT(SUBSTITUTE(SUBSTITUTE(SUBSTITUTE('STANDAR RESEP'!A127, " ", "_"), "(", ""), ")", ""))))</f>
        <v>Ayam Kecap</v>
      </c>
      <c r="Z116" s="17" t="s">
        <v>28</v>
      </c>
      <c r="AA116" s="17" t="s">
        <v>22</v>
      </c>
      <c r="AB116" s="17" t="s">
        <v>27</v>
      </c>
      <c r="AC116" s="17" t="s">
        <v>25</v>
      </c>
      <c r="AD116" s="17" t="s">
        <v>26</v>
      </c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39"/>
      <c r="X117" s="17"/>
      <c r="Y117" s="40" t="str">
        <f t="array" ref="Y117:AMX117">IF('STANDAR RESEP'!A128="", "", TRANSPOSE(INDIRECT(SUBSTITUTE(SUBSTITUTE(SUBSTITUTE('STANDAR RESEP'!A128, " ", "_"), "(", ""), ")", ""))))</f>
        <v>Ayam Kecap</v>
      </c>
      <c r="Z117" s="17" t="s">
        <v>28</v>
      </c>
      <c r="AA117" s="17" t="s">
        <v>22</v>
      </c>
      <c r="AB117" s="17" t="s">
        <v>27</v>
      </c>
      <c r="AC117" s="17" t="s">
        <v>25</v>
      </c>
      <c r="AD117" s="17" t="s">
        <v>26</v>
      </c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39"/>
      <c r="X118" s="17"/>
      <c r="Y118" s="40" t="str">
        <f t="array" ref="Y118:AMX118">IF('STANDAR RESEP'!A129="", "", TRANSPOSE(INDIRECT(SUBSTITUTE(SUBSTITUTE(SUBSTITUTE('STANDAR RESEP'!A129, " ", "_"), "(", ""), ")", ""))))</f>
        <v>Ayam Kecap</v>
      </c>
      <c r="Z118" s="17" t="s">
        <v>28</v>
      </c>
      <c r="AA118" s="17" t="s">
        <v>22</v>
      </c>
      <c r="AB118" s="17" t="s">
        <v>27</v>
      </c>
      <c r="AC118" s="17" t="s">
        <v>25</v>
      </c>
      <c r="AD118" s="17" t="s">
        <v>26</v>
      </c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39"/>
      <c r="X119" s="17"/>
      <c r="Y119" s="40" t="str">
        <f t="array" ref="Y119:AMX119">IF('STANDAR RESEP'!A131="", "", TRANSPOSE(INDIRECT(SUBSTITUTE(SUBSTITUTE(SUBSTITUTE('STANDAR RESEP'!A131, " ", "_"), "(", ""), ")", ""))))</f>
        <v>Ayam Kecap</v>
      </c>
      <c r="Z119" s="17" t="s">
        <v>28</v>
      </c>
      <c r="AA119" s="17" t="s">
        <v>22</v>
      </c>
      <c r="AB119" s="17" t="s">
        <v>27</v>
      </c>
      <c r="AC119" s="17" t="s">
        <v>25</v>
      </c>
      <c r="AD119" s="17" t="s">
        <v>26</v>
      </c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39"/>
      <c r="X120" s="17"/>
      <c r="Y120" s="40" t="str">
        <f t="array" ref="Y120:AMX120">IF('STANDAR RESEP'!A132="", "", TRANSPOSE(INDIRECT(SUBSTITUTE(SUBSTITUTE(SUBSTITUTE('STANDAR RESEP'!A132, " ", "_"), "(", ""), ")", ""))))</f>
        <v>Ayam Kecap</v>
      </c>
      <c r="Z120" s="17" t="s">
        <v>28</v>
      </c>
      <c r="AA120" s="17" t="s">
        <v>22</v>
      </c>
      <c r="AB120" s="17" t="s">
        <v>27</v>
      </c>
      <c r="AC120" s="17" t="s">
        <v>25</v>
      </c>
      <c r="AD120" s="17" t="s">
        <v>26</v>
      </c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39"/>
      <c r="X121" s="17"/>
      <c r="Y121" s="40" t="str">
        <f t="array" ref="Y121:AMX121">IF('STANDAR RESEP'!A133="", "", TRANSPOSE(INDIRECT(SUBSTITUTE(SUBSTITUTE(SUBSTITUTE('STANDAR RESEP'!A133, " ", "_"), "(", ""), ")", ""))))</f>
        <v>Ayam Kecap</v>
      </c>
      <c r="Z121" s="17" t="s">
        <v>28</v>
      </c>
      <c r="AA121" s="17" t="s">
        <v>22</v>
      </c>
      <c r="AB121" s="17" t="s">
        <v>27</v>
      </c>
      <c r="AC121" s="17" t="s">
        <v>25</v>
      </c>
      <c r="AD121" s="17" t="s">
        <v>26</v>
      </c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39"/>
      <c r="X122" s="17"/>
      <c r="Y122" s="40" t="str">
        <f t="array" ref="Y122:AMX122">IF('STANDAR RESEP'!A134="", "", TRANSPOSE(INDIRECT(SUBSTITUTE(SUBSTITUTE(SUBSTITUTE('STANDAR RESEP'!A134, " ", "_"), "(", ""), ")", ""))))</f>
        <v>Ayam Kecap</v>
      </c>
      <c r="Z122" s="17" t="s">
        <v>28</v>
      </c>
      <c r="AA122" s="17" t="s">
        <v>22</v>
      </c>
      <c r="AB122" s="17" t="s">
        <v>27</v>
      </c>
      <c r="AC122" s="17" t="s">
        <v>25</v>
      </c>
      <c r="AD122" s="17" t="s">
        <v>26</v>
      </c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39"/>
      <c r="X123" s="17"/>
      <c r="Y123" s="40" t="str">
        <f t="array" ref="Y123:AMX123">IF('STANDAR RESEP'!A135="", "", TRANSPOSE(INDIRECT(SUBSTITUTE(SUBSTITUTE(SUBSTITUTE('STANDAR RESEP'!A135, " ", "_"), "(", ""), ")", ""))))</f>
        <v>Ayam Kecap</v>
      </c>
      <c r="Z123" s="17" t="s">
        <v>28</v>
      </c>
      <c r="AA123" s="17" t="s">
        <v>22</v>
      </c>
      <c r="AB123" s="17" t="s">
        <v>27</v>
      </c>
      <c r="AC123" s="17" t="s">
        <v>25</v>
      </c>
      <c r="AD123" s="17" t="s">
        <v>26</v>
      </c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39"/>
      <c r="X124" s="17"/>
      <c r="Y124" s="40" t="str">
        <f t="array" ref="Y124:AMX124">IF('STANDAR RESEP'!A136="", "", TRANSPOSE(INDIRECT(SUBSTITUTE(SUBSTITUTE(SUBSTITUTE('STANDAR RESEP'!A136, " ", "_"), "(", ""), ")", ""))))</f>
        <v>Ayam Kecap</v>
      </c>
      <c r="Z124" s="17" t="s">
        <v>28</v>
      </c>
      <c r="AA124" s="17" t="s">
        <v>22</v>
      </c>
      <c r="AB124" s="17" t="s">
        <v>27</v>
      </c>
      <c r="AC124" s="17" t="s">
        <v>25</v>
      </c>
      <c r="AD124" s="17" t="s">
        <v>26</v>
      </c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39"/>
      <c r="X125" s="17"/>
      <c r="Y125" s="40" t="str">
        <f t="array" ref="Y125:AMX125">IF('STANDAR RESEP'!A137="", "", TRANSPOSE(INDIRECT(SUBSTITUTE(SUBSTITUTE(SUBSTITUTE('STANDAR RESEP'!A137, " ", "_"), "(", ""), ")", ""))))</f>
        <v>Ayam Kecap</v>
      </c>
      <c r="Z125" s="17" t="s">
        <v>28</v>
      </c>
      <c r="AA125" s="17" t="s">
        <v>22</v>
      </c>
      <c r="AB125" s="17" t="s">
        <v>27</v>
      </c>
      <c r="AC125" s="17" t="s">
        <v>25</v>
      </c>
      <c r="AD125" s="17" t="s">
        <v>26</v>
      </c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39"/>
      <c r="X126" s="17"/>
      <c r="Y126" s="40" t="str">
        <f t="array" ref="Y126:AMX126">IF('STANDAR RESEP'!A138="", "", TRANSPOSE(INDIRECT(SUBSTITUTE(SUBSTITUTE(SUBSTITUTE('STANDAR RESEP'!A138, " ", "_"), "(", ""), ")", ""))))</f>
        <v>Ayam Kecap</v>
      </c>
      <c r="Z126" s="17" t="s">
        <v>28</v>
      </c>
      <c r="AA126" s="17" t="s">
        <v>22</v>
      </c>
      <c r="AB126" s="17" t="s">
        <v>27</v>
      </c>
      <c r="AC126" s="17" t="s">
        <v>25</v>
      </c>
      <c r="AD126" s="17" t="s">
        <v>26</v>
      </c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39"/>
      <c r="X127" s="17"/>
      <c r="Y127" s="40" t="str">
        <f t="array" ref="Y127:AMX127">IF('STANDAR RESEP'!A139="", "", TRANSPOSE(INDIRECT(SUBSTITUTE(SUBSTITUTE(SUBSTITUTE('STANDAR RESEP'!A139, " ", "_"), "(", ""), ")", ""))))</f>
        <v>Ayam Kecap</v>
      </c>
      <c r="Z127" s="17" t="s">
        <v>28</v>
      </c>
      <c r="AA127" s="17" t="s">
        <v>22</v>
      </c>
      <c r="AB127" s="17" t="s">
        <v>27</v>
      </c>
      <c r="AC127" s="17" t="s">
        <v>25</v>
      </c>
      <c r="AD127" s="17" t="s">
        <v>26</v>
      </c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39"/>
      <c r="X128" s="17"/>
      <c r="Y128" s="40" t="str">
        <f t="array" ref="Y128:AMX128">IF('STANDAR RESEP'!A140="", "", TRANSPOSE(INDIRECT(SUBSTITUTE(SUBSTITUTE(SUBSTITUTE('STANDAR RESEP'!A140, " ", "_"), "(", ""), ")", ""))))</f>
        <v>Ayam Kecap</v>
      </c>
      <c r="Z128" s="17" t="s">
        <v>28</v>
      </c>
      <c r="AA128" s="17" t="s">
        <v>22</v>
      </c>
      <c r="AB128" s="17" t="s">
        <v>27</v>
      </c>
      <c r="AC128" s="17" t="s">
        <v>25</v>
      </c>
      <c r="AD128" s="17" t="s">
        <v>26</v>
      </c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39"/>
      <c r="X129" s="17"/>
      <c r="Y129" s="40" t="str">
        <f t="array" ref="Y129:AMX129">IF('STANDAR RESEP'!A141="", "", TRANSPOSE(INDIRECT(SUBSTITUTE(SUBSTITUTE(SUBSTITUTE('STANDAR RESEP'!A141, " ", "_"), "(", ""), ")", ""))))</f>
        <v>Ayam Kecap</v>
      </c>
      <c r="Z129" s="17" t="s">
        <v>28</v>
      </c>
      <c r="AA129" s="17" t="s">
        <v>22</v>
      </c>
      <c r="AB129" s="17" t="s">
        <v>27</v>
      </c>
      <c r="AC129" s="17" t="s">
        <v>25</v>
      </c>
      <c r="AD129" s="17" t="s">
        <v>26</v>
      </c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39"/>
      <c r="X130" s="17"/>
      <c r="Y130" s="40" t="str">
        <f t="array" ref="Y130:AMX130">IF('STANDAR RESEP'!A142="", "", TRANSPOSE(INDIRECT(SUBSTITUTE(SUBSTITUTE(SUBSTITUTE('STANDAR RESEP'!A142, " ", "_"), "(", ""), ")", ""))))</f>
        <v>Ayam Kecap</v>
      </c>
      <c r="Z130" s="17" t="s">
        <v>28</v>
      </c>
      <c r="AA130" s="17" t="s">
        <v>22</v>
      </c>
      <c r="AB130" s="17" t="s">
        <v>27</v>
      </c>
      <c r="AC130" s="17" t="s">
        <v>25</v>
      </c>
      <c r="AD130" s="17" t="s">
        <v>26</v>
      </c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39"/>
      <c r="X131" s="17"/>
      <c r="Y131" s="40" t="str">
        <f t="array" ref="Y131:AMX131">IF('STANDAR RESEP'!A143="", "", TRANSPOSE(INDIRECT(SUBSTITUTE(SUBSTITUTE(SUBSTITUTE('STANDAR RESEP'!A143, " ", "_"), "(", ""), ")", ""))))</f>
        <v>Ayam Kecap</v>
      </c>
      <c r="Z131" s="17" t="s">
        <v>28</v>
      </c>
      <c r="AA131" s="17" t="s">
        <v>22</v>
      </c>
      <c r="AB131" s="17" t="s">
        <v>27</v>
      </c>
      <c r="AC131" s="17" t="s">
        <v>25</v>
      </c>
      <c r="AD131" s="17" t="s">
        <v>26</v>
      </c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39"/>
      <c r="X132" s="17"/>
      <c r="Y132" s="40" t="str">
        <f t="array" ref="Y132:AMX132">IF('STANDAR RESEP'!A144="", "", TRANSPOSE(INDIRECT(SUBSTITUTE(SUBSTITUTE(SUBSTITUTE('STANDAR RESEP'!A144, " ", "_"), "(", ""), ")", ""))))</f>
        <v>Ayam Kecap</v>
      </c>
      <c r="Z132" s="17" t="s">
        <v>28</v>
      </c>
      <c r="AA132" s="17" t="s">
        <v>22</v>
      </c>
      <c r="AB132" s="17" t="s">
        <v>27</v>
      </c>
      <c r="AC132" s="17" t="s">
        <v>25</v>
      </c>
      <c r="AD132" s="17" t="s">
        <v>26</v>
      </c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39"/>
      <c r="X133" s="17"/>
      <c r="Y133" s="40" t="str">
        <f t="array" ref="Y133:AMX133">IF('STANDAR RESEP'!A145="", "", TRANSPOSE(INDIRECT(SUBSTITUTE(SUBSTITUTE(SUBSTITUTE('STANDAR RESEP'!A145, " ", "_"), "(", ""), ")", ""))))</f>
        <v>Ayam Fillet Saus Barbeque</v>
      </c>
      <c r="Z133" s="17" t="s">
        <v>30</v>
      </c>
      <c r="AA133" s="17" t="s">
        <v>32</v>
      </c>
      <c r="AB133" s="17" t="s">
        <v>34</v>
      </c>
      <c r="AC133" s="17" t="s">
        <v>35</v>
      </c>
      <c r="AD133" s="17" t="s">
        <v>36</v>
      </c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39"/>
      <c r="X134" s="17"/>
      <c r="Y134" s="40" t="str">
        <f t="array" ref="Y134:AMX134">IF('STANDAR RESEP'!A146="", "", TRANSPOSE(INDIRECT(SUBSTITUTE(SUBSTITUTE(SUBSTITUTE('STANDAR RESEP'!A146, " ", "_"), "(", ""), ")", ""))))</f>
        <v>Ayam Fillet Saus Barbeque</v>
      </c>
      <c r="Z134" s="17" t="s">
        <v>30</v>
      </c>
      <c r="AA134" s="17" t="s">
        <v>32</v>
      </c>
      <c r="AB134" s="17" t="s">
        <v>34</v>
      </c>
      <c r="AC134" s="17" t="s">
        <v>35</v>
      </c>
      <c r="AD134" s="17" t="s">
        <v>36</v>
      </c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39"/>
      <c r="X135" s="17"/>
      <c r="Y135" s="40" t="str">
        <f t="array" ref="Y135:AMX135">IF('STANDAR RESEP'!A147="", "", TRANSPOSE(INDIRECT(SUBSTITUTE(SUBSTITUTE(SUBSTITUTE('STANDAR RESEP'!A147, " ", "_"), "(", ""), ")", ""))))</f>
        <v>Ayam Fillet Saus Barbeque</v>
      </c>
      <c r="Z135" s="17" t="s">
        <v>30</v>
      </c>
      <c r="AA135" s="17" t="s">
        <v>32</v>
      </c>
      <c r="AB135" s="17" t="s">
        <v>34</v>
      </c>
      <c r="AC135" s="17" t="s">
        <v>35</v>
      </c>
      <c r="AD135" s="17" t="s">
        <v>36</v>
      </c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39"/>
      <c r="X136" s="17"/>
      <c r="Y136" s="40" t="str">
        <f t="array" ref="Y136:AMX136">IF('STANDAR RESEP'!A148="", "", TRANSPOSE(INDIRECT(SUBSTITUTE(SUBSTITUTE(SUBSTITUTE('STANDAR RESEP'!A148, " ", "_"), "(", ""), ")", ""))))</f>
        <v>Ayam Fillet Saus Barbeque</v>
      </c>
      <c r="Z136" s="17" t="s">
        <v>30</v>
      </c>
      <c r="AA136" s="17" t="s">
        <v>32</v>
      </c>
      <c r="AB136" s="17" t="s">
        <v>34</v>
      </c>
      <c r="AC136" s="17" t="s">
        <v>35</v>
      </c>
      <c r="AD136" s="17" t="s">
        <v>36</v>
      </c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39"/>
      <c r="X137" s="17"/>
      <c r="Y137" s="40" t="str">
        <f t="array" ref="Y137:AMX137">IF('STANDAR RESEP'!A149="", "", TRANSPOSE(INDIRECT(SUBSTITUTE(SUBSTITUTE(SUBSTITUTE('STANDAR RESEP'!A149, " ", "_"), "(", ""), ")", ""))))</f>
        <v>Ayam Fillet Saus Barbeque</v>
      </c>
      <c r="Z137" s="17" t="s">
        <v>30</v>
      </c>
      <c r="AA137" s="17" t="s">
        <v>32</v>
      </c>
      <c r="AB137" s="17" t="s">
        <v>34</v>
      </c>
      <c r="AC137" s="17" t="s">
        <v>35</v>
      </c>
      <c r="AD137" s="17" t="s">
        <v>36</v>
      </c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39"/>
      <c r="X138" s="17"/>
      <c r="Y138" s="40" t="str">
        <f t="array" ref="Y138:AMX138">IF('STANDAR RESEP'!A150="", "", TRANSPOSE(INDIRECT(SUBSTITUTE(SUBSTITUTE(SUBSTITUTE('STANDAR RESEP'!A150, " ", "_"), "(", ""), ")", ""))))</f>
        <v>Ayam Fillet Saus Barbeque</v>
      </c>
      <c r="Z138" s="17" t="s">
        <v>30</v>
      </c>
      <c r="AA138" s="17" t="s">
        <v>32</v>
      </c>
      <c r="AB138" s="17" t="s">
        <v>34</v>
      </c>
      <c r="AC138" s="17" t="s">
        <v>35</v>
      </c>
      <c r="AD138" s="17" t="s">
        <v>36</v>
      </c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39"/>
      <c r="X139" s="17"/>
      <c r="Y139" s="40" t="str">
        <f t="array" ref="Y139:AMX139">IF('STANDAR RESEP'!A151="", "", TRANSPOSE(INDIRECT(SUBSTITUTE(SUBSTITUTE(SUBSTITUTE('STANDAR RESEP'!A151, " ", "_"), "(", ""), ")", ""))))</f>
        <v>Ayam Fillet Saus Barbeque</v>
      </c>
      <c r="Z139" s="17" t="s">
        <v>30</v>
      </c>
      <c r="AA139" s="17" t="s">
        <v>32</v>
      </c>
      <c r="AB139" s="17" t="s">
        <v>34</v>
      </c>
      <c r="AC139" s="17" t="s">
        <v>35</v>
      </c>
      <c r="AD139" s="17" t="s">
        <v>36</v>
      </c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39"/>
      <c r="X140" s="17"/>
      <c r="Y140" s="40" t="str">
        <f t="array" ref="Y140:AMX140">IF('STANDAR RESEP'!A152="", "", TRANSPOSE(INDIRECT(SUBSTITUTE(SUBSTITUTE(SUBSTITUTE('STANDAR RESEP'!A152, " ", "_"), "(", ""), ")", ""))))</f>
        <v>Ayam Fillet Saus Barbeque</v>
      </c>
      <c r="Z140" s="17" t="s">
        <v>30</v>
      </c>
      <c r="AA140" s="17" t="s">
        <v>32</v>
      </c>
      <c r="AB140" s="17" t="s">
        <v>34</v>
      </c>
      <c r="AC140" s="17" t="s">
        <v>35</v>
      </c>
      <c r="AD140" s="17" t="s">
        <v>36</v>
      </c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39"/>
      <c r="X141" s="17"/>
      <c r="Y141" s="40" t="str">
        <f t="array" ref="Y141:AMX141">IF('STANDAR RESEP'!A153="", "", TRANSPOSE(INDIRECT(SUBSTITUTE(SUBSTITUTE(SUBSTITUTE('STANDAR RESEP'!A153, " ", "_"), "(", ""), ")", ""))))</f>
        <v>Ayam Fillet Saus Barbeque</v>
      </c>
      <c r="Z141" s="17" t="s">
        <v>30</v>
      </c>
      <c r="AA141" s="17" t="s">
        <v>32</v>
      </c>
      <c r="AB141" s="17" t="s">
        <v>34</v>
      </c>
      <c r="AC141" s="17" t="s">
        <v>35</v>
      </c>
      <c r="AD141" s="17" t="s">
        <v>36</v>
      </c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39"/>
      <c r="X142" s="17"/>
      <c r="Y142" s="40" t="str">
        <f t="array" ref="Y142:AMX142">IF('STANDAR RESEP'!A154="", "", TRANSPOSE(INDIRECT(SUBSTITUTE(SUBSTITUTE(SUBSTITUTE('STANDAR RESEP'!A154, " ", "_"), "(", ""), ")", ""))))</f>
        <v>Ayam Fillet Saus Barbeque</v>
      </c>
      <c r="Z142" s="17" t="s">
        <v>30</v>
      </c>
      <c r="AA142" s="17" t="s">
        <v>32</v>
      </c>
      <c r="AB142" s="17" t="s">
        <v>34</v>
      </c>
      <c r="AC142" s="17" t="s">
        <v>35</v>
      </c>
      <c r="AD142" s="17" t="s">
        <v>36</v>
      </c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39"/>
      <c r="X143" s="17"/>
      <c r="Y143" s="40" t="str">
        <f t="array" ref="Y143:AMX143">IF('STANDAR RESEP'!A155="", "", TRANSPOSE(INDIRECT(SUBSTITUTE(SUBSTITUTE(SUBSTITUTE('STANDAR RESEP'!A155, " ", "_"), "(", ""), ")", ""))))</f>
        <v>Ayam Fillet Saus Barbeque</v>
      </c>
      <c r="Z143" s="17" t="s">
        <v>30</v>
      </c>
      <c r="AA143" s="17" t="s">
        <v>32</v>
      </c>
      <c r="AB143" s="17" t="s">
        <v>34</v>
      </c>
      <c r="AC143" s="17" t="s">
        <v>35</v>
      </c>
      <c r="AD143" s="17" t="s">
        <v>36</v>
      </c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39"/>
      <c r="X144" s="17"/>
      <c r="Y144" s="40" t="str">
        <f t="array" ref="Y144:AMX144">IF('STANDAR RESEP'!A156="", "", TRANSPOSE(INDIRECT(SUBSTITUTE(SUBSTITUTE(SUBSTITUTE('STANDAR RESEP'!A156, " ", "_"), "(", ""), ")", ""))))</f>
        <v>Ayam Fillet Saus Barbeque</v>
      </c>
      <c r="Z144" s="17" t="s">
        <v>30</v>
      </c>
      <c r="AA144" s="17" t="s">
        <v>32</v>
      </c>
      <c r="AB144" s="17" t="s">
        <v>34</v>
      </c>
      <c r="AC144" s="17" t="s">
        <v>35</v>
      </c>
      <c r="AD144" s="17" t="s">
        <v>36</v>
      </c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39"/>
      <c r="X145" s="17"/>
      <c r="Y145" s="40" t="str">
        <f t="array" ref="Y145:AMX145">IF('STANDAR RESEP'!A158="", "", TRANSPOSE(INDIRECT(SUBSTITUTE(SUBSTITUTE(SUBSTITUTE('STANDAR RESEP'!A158, " ", "_"), "(", ""), ")", ""))))</f>
        <v>Ayam Fillet Saus Barbeque</v>
      </c>
      <c r="Z145" s="17" t="s">
        <v>30</v>
      </c>
      <c r="AA145" s="17" t="s">
        <v>32</v>
      </c>
      <c r="AB145" s="17" t="s">
        <v>34</v>
      </c>
      <c r="AC145" s="17" t="s">
        <v>35</v>
      </c>
      <c r="AD145" s="17" t="s">
        <v>36</v>
      </c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39"/>
      <c r="X146" s="17"/>
      <c r="Y146" s="40" t="str">
        <f t="array" ref="Y146:AMX146">IF('STANDAR RESEP'!A159="", "", TRANSPOSE(INDIRECT(SUBSTITUTE(SUBSTITUTE(SUBSTITUTE('STANDAR RESEP'!A159, " ", "_"), "(", ""), ")", ""))))</f>
        <v>Ayam Fillet Saus Barbeque</v>
      </c>
      <c r="Z146" s="17" t="s">
        <v>30</v>
      </c>
      <c r="AA146" s="17" t="s">
        <v>32</v>
      </c>
      <c r="AB146" s="17" t="s">
        <v>34</v>
      </c>
      <c r="AC146" s="17" t="s">
        <v>35</v>
      </c>
      <c r="AD146" s="17" t="s">
        <v>36</v>
      </c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39"/>
      <c r="X147" s="17"/>
      <c r="Y147" s="40" t="str">
        <f t="array" ref="Y147:AMX147">IF('STANDAR RESEP'!A160="", "", TRANSPOSE(INDIRECT(SUBSTITUTE(SUBSTITUTE(SUBSTITUTE('STANDAR RESEP'!A160, " ", "_"), "(", ""), ")", ""))))</f>
        <v>Ayam Fillet Saus Barbeque</v>
      </c>
      <c r="Z147" s="17" t="s">
        <v>30</v>
      </c>
      <c r="AA147" s="17" t="s">
        <v>32</v>
      </c>
      <c r="AB147" s="17" t="s">
        <v>34</v>
      </c>
      <c r="AC147" s="17" t="s">
        <v>35</v>
      </c>
      <c r="AD147" s="17" t="s">
        <v>36</v>
      </c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39"/>
      <c r="X148" s="17"/>
      <c r="Y148" s="40" t="str">
        <f t="array" ref="Y148:AMX148">IF('STANDAR RESEP'!A161="", "", TRANSPOSE(INDIRECT(SUBSTITUTE(SUBSTITUTE(SUBSTITUTE('STANDAR RESEP'!A161, " ", "_"), "(", ""), ")", ""))))</f>
        <v>Ayam Fillet Saus Barbeque</v>
      </c>
      <c r="Z148" s="17" t="s">
        <v>30</v>
      </c>
      <c r="AA148" s="17" t="s">
        <v>32</v>
      </c>
      <c r="AB148" s="17" t="s">
        <v>34</v>
      </c>
      <c r="AC148" s="17" t="s">
        <v>35</v>
      </c>
      <c r="AD148" s="17" t="s">
        <v>36</v>
      </c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39"/>
      <c r="X149" s="17"/>
      <c r="Y149" s="40" t="str">
        <f t="array" ref="Y149:AMX149">IF('STANDAR RESEP'!A162="", "", TRANSPOSE(INDIRECT(SUBSTITUTE(SUBSTITUTE(SUBSTITUTE('STANDAR RESEP'!A162, " ", "_"), "(", ""), ")", ""))))</f>
        <v>Ayam Fillet Saus Barbeque</v>
      </c>
      <c r="Z149" s="17" t="s">
        <v>30</v>
      </c>
      <c r="AA149" s="17" t="s">
        <v>32</v>
      </c>
      <c r="AB149" s="17" t="s">
        <v>34</v>
      </c>
      <c r="AC149" s="17" t="s">
        <v>35</v>
      </c>
      <c r="AD149" s="17" t="s">
        <v>36</v>
      </c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39"/>
      <c r="X150" s="17"/>
      <c r="Y150" s="40" t="str">
        <f t="array" ref="Y150:AMX150">IF('STANDAR RESEP'!A163="", "", TRANSPOSE(INDIRECT(SUBSTITUTE(SUBSTITUTE(SUBSTITUTE('STANDAR RESEP'!A163, " ", "_"), "(", ""), ")", ""))))</f>
        <v>Ayam Fillet Saus Barbeque</v>
      </c>
      <c r="Z150" s="17" t="s">
        <v>30</v>
      </c>
      <c r="AA150" s="17" t="s">
        <v>32</v>
      </c>
      <c r="AB150" s="17" t="s">
        <v>34</v>
      </c>
      <c r="AC150" s="17" t="s">
        <v>35</v>
      </c>
      <c r="AD150" s="17" t="s">
        <v>36</v>
      </c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39"/>
      <c r="X151" s="17"/>
      <c r="Y151" s="40" t="str">
        <f t="array" ref="Y151:AMX151">IF('STANDAR RESEP'!A164="", "", TRANSPOSE(INDIRECT(SUBSTITUTE(SUBSTITUTE(SUBSTITUTE('STANDAR RESEP'!A164, " ", "_"), "(", ""), ")", ""))))</f>
        <v>Ayam Fillet Saus Barbeque</v>
      </c>
      <c r="Z151" s="17" t="s">
        <v>30</v>
      </c>
      <c r="AA151" s="17" t="s">
        <v>32</v>
      </c>
      <c r="AB151" s="17" t="s">
        <v>34</v>
      </c>
      <c r="AC151" s="17" t="s">
        <v>35</v>
      </c>
      <c r="AD151" s="17" t="s">
        <v>36</v>
      </c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39"/>
      <c r="X152" s="17"/>
      <c r="Y152" s="40" t="str">
        <f t="array" ref="Y152:AMX152">IF('STANDAR RESEP'!A165="", "", TRANSPOSE(INDIRECT(SUBSTITUTE(SUBSTITUTE(SUBSTITUTE('STANDAR RESEP'!A165, " ", "_"), "(", ""), ")", ""))))</f>
        <v>Ayam Fillet Saus Barbeque</v>
      </c>
      <c r="Z152" s="17" t="s">
        <v>30</v>
      </c>
      <c r="AA152" s="17" t="s">
        <v>32</v>
      </c>
      <c r="AB152" s="17" t="s">
        <v>34</v>
      </c>
      <c r="AC152" s="17" t="s">
        <v>35</v>
      </c>
      <c r="AD152" s="17" t="s">
        <v>36</v>
      </c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39"/>
      <c r="X153" s="17"/>
      <c r="Y153" s="40" t="str">
        <f t="array" ref="Y153:AMX153">IF('STANDAR RESEP'!A166="", "", TRANSPOSE(INDIRECT(SUBSTITUTE(SUBSTITUTE(SUBSTITUTE('STANDAR RESEP'!A166, " ", "_"), "(", ""), ")", ""))))</f>
        <v>Ayam Fillet Saus Barbeque</v>
      </c>
      <c r="Z153" s="17" t="s">
        <v>30</v>
      </c>
      <c r="AA153" s="17" t="s">
        <v>32</v>
      </c>
      <c r="AB153" s="17" t="s">
        <v>34</v>
      </c>
      <c r="AC153" s="17" t="s">
        <v>35</v>
      </c>
      <c r="AD153" s="17" t="s">
        <v>36</v>
      </c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39"/>
      <c r="X154" s="17"/>
      <c r="Y154" s="40" t="str">
        <f t="array" ref="Y154:AMX154">IF('STANDAR RESEP'!A167="", "", TRANSPOSE(INDIRECT(SUBSTITUTE(SUBSTITUTE(SUBSTITUTE('STANDAR RESEP'!A167, " ", "_"), "(", ""), ")", ""))))</f>
        <v>Ayam Fillet Saus Barbeque</v>
      </c>
      <c r="Z154" s="17" t="s">
        <v>30</v>
      </c>
      <c r="AA154" s="17" t="s">
        <v>32</v>
      </c>
      <c r="AB154" s="17" t="s">
        <v>34</v>
      </c>
      <c r="AC154" s="17" t="s">
        <v>35</v>
      </c>
      <c r="AD154" s="17" t="s">
        <v>36</v>
      </c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39"/>
      <c r="X155" s="17"/>
      <c r="Y155" s="40" t="str">
        <f t="array" ref="Y155:AMX155">IF('STANDAR RESEP'!A168="", "", TRANSPOSE(INDIRECT(SUBSTITUTE(SUBSTITUTE(SUBSTITUTE('STANDAR RESEP'!A168, " ", "_"), "(", ""), ")", ""))))</f>
        <v>Ayam Fillet Saus Barbeque</v>
      </c>
      <c r="Z155" s="17" t="s">
        <v>30</v>
      </c>
      <c r="AA155" s="17" t="s">
        <v>32</v>
      </c>
      <c r="AB155" s="17" t="s">
        <v>34</v>
      </c>
      <c r="AC155" s="17" t="s">
        <v>35</v>
      </c>
      <c r="AD155" s="17" t="s">
        <v>36</v>
      </c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39"/>
      <c r="X156" s="17"/>
      <c r="Y156" s="40" t="str">
        <f t="array" ref="Y156:AMX156">IF('STANDAR RESEP'!A169="", "", TRANSPOSE(INDIRECT(SUBSTITUTE(SUBSTITUTE(SUBSTITUTE('STANDAR RESEP'!A169, " ", "_"), "(", ""), ")", ""))))</f>
        <v>Ayam Fillet Saus Barbeque</v>
      </c>
      <c r="Z156" s="17" t="s">
        <v>30</v>
      </c>
      <c r="AA156" s="17" t="s">
        <v>32</v>
      </c>
      <c r="AB156" s="17" t="s">
        <v>34</v>
      </c>
      <c r="AC156" s="17" t="s">
        <v>35</v>
      </c>
      <c r="AD156" s="17" t="s">
        <v>36</v>
      </c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39"/>
      <c r="X157" s="17"/>
      <c r="Y157" s="40" t="str">
        <f t="array" ref="Y157:AMX157">IF('STANDAR RESEP'!A170="", "", TRANSPOSE(INDIRECT(SUBSTITUTE(SUBSTITUTE(SUBSTITUTE('STANDAR RESEP'!A170, " ", "_"), "(", ""), ")", ""))))</f>
        <v>Ayam Fillet Saus Barbeque</v>
      </c>
      <c r="Z157" s="17" t="s">
        <v>30</v>
      </c>
      <c r="AA157" s="17" t="s">
        <v>32</v>
      </c>
      <c r="AB157" s="17" t="s">
        <v>34</v>
      </c>
      <c r="AC157" s="17" t="s">
        <v>35</v>
      </c>
      <c r="AD157" s="17" t="s">
        <v>36</v>
      </c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39"/>
      <c r="X158" s="17"/>
      <c r="Y158" s="40" t="str">
        <f t="array" ref="Y158:AMX158">IF('STANDAR RESEP'!A172="", "", TRANSPOSE(INDIRECT(SUBSTITUTE(SUBSTITUTE(SUBSTITUTE('STANDAR RESEP'!A172, " ", "_"), "(", ""), ")", ""))))</f>
        <v>Ayam Fillet Saus Barbeque</v>
      </c>
      <c r="Z158" s="17" t="s">
        <v>30</v>
      </c>
      <c r="AA158" s="17" t="s">
        <v>32</v>
      </c>
      <c r="AB158" s="17" t="s">
        <v>34</v>
      </c>
      <c r="AC158" s="17" t="s">
        <v>35</v>
      </c>
      <c r="AD158" s="17" t="s">
        <v>36</v>
      </c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39"/>
      <c r="X159" s="17"/>
      <c r="Y159" s="40" t="str">
        <f t="array" ref="Y159:AMX159">IF('STANDAR RESEP'!A173="", "", TRANSPOSE(INDIRECT(SUBSTITUTE(SUBSTITUTE(SUBSTITUTE('STANDAR RESEP'!A173, " ", "_"), "(", ""), ")", ""))))</f>
        <v>Ayam Fillet Saus Barbeque</v>
      </c>
      <c r="Z159" s="17" t="s">
        <v>30</v>
      </c>
      <c r="AA159" s="17" t="s">
        <v>32</v>
      </c>
      <c r="AB159" s="17" t="s">
        <v>34</v>
      </c>
      <c r="AC159" s="17" t="s">
        <v>35</v>
      </c>
      <c r="AD159" s="17" t="s">
        <v>36</v>
      </c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39"/>
      <c r="X160" s="17"/>
      <c r="Y160" s="40" t="str">
        <f t="array" ref="Y160:AMX160">IF('STANDAR RESEP'!A174="", "", TRANSPOSE(INDIRECT(SUBSTITUTE(SUBSTITUTE(SUBSTITUTE('STANDAR RESEP'!A174, " ", "_"), "(", ""), ")", ""))))</f>
        <v>Ayam Fillet Saus Barbeque</v>
      </c>
      <c r="Z160" s="17" t="s">
        <v>30</v>
      </c>
      <c r="AA160" s="17" t="s">
        <v>32</v>
      </c>
      <c r="AB160" s="17" t="s">
        <v>34</v>
      </c>
      <c r="AC160" s="17" t="s">
        <v>35</v>
      </c>
      <c r="AD160" s="17" t="s">
        <v>36</v>
      </c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39"/>
      <c r="X161" s="17"/>
      <c r="Y161" s="40" t="str">
        <f t="array" ref="Y161:AMX161">IF('STANDAR RESEP'!A175="", "", TRANSPOSE(INDIRECT(SUBSTITUTE(SUBSTITUTE(SUBSTITUTE('STANDAR RESEP'!A175, " ", "_"), "(", ""), ")", ""))))</f>
        <v>Ayam Fillet Saus Barbeque</v>
      </c>
      <c r="Z161" s="17" t="s">
        <v>30</v>
      </c>
      <c r="AA161" s="17" t="s">
        <v>32</v>
      </c>
      <c r="AB161" s="17" t="s">
        <v>34</v>
      </c>
      <c r="AC161" s="17" t="s">
        <v>35</v>
      </c>
      <c r="AD161" s="17" t="s">
        <v>36</v>
      </c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39"/>
      <c r="X162" s="17"/>
      <c r="Y162" s="40" t="str">
        <f t="array" ref="Y162:AMX162">IF('STANDAR RESEP'!A176="", "", TRANSPOSE(INDIRECT(SUBSTITUTE(SUBSTITUTE(SUBSTITUTE('STANDAR RESEP'!A176, " ", "_"), "(", ""), ")", ""))))</f>
        <v>Ayam Fillet Saus Barbeque</v>
      </c>
      <c r="Z162" s="17" t="s">
        <v>30</v>
      </c>
      <c r="AA162" s="17" t="s">
        <v>32</v>
      </c>
      <c r="AB162" s="17" t="s">
        <v>34</v>
      </c>
      <c r="AC162" s="17" t="s">
        <v>35</v>
      </c>
      <c r="AD162" s="17" t="s">
        <v>36</v>
      </c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39"/>
      <c r="X163" s="17"/>
      <c r="Y163" s="40" t="str">
        <f t="array" ref="Y163:AMX163">IF('STANDAR RESEP'!A177="", "", TRANSPOSE(INDIRECT(SUBSTITUTE(SUBSTITUTE(SUBSTITUTE('STANDAR RESEP'!A177, " ", "_"), "(", ""), ")", ""))))</f>
        <v>Ayam Fillet Saus Barbeque</v>
      </c>
      <c r="Z163" s="17" t="s">
        <v>30</v>
      </c>
      <c r="AA163" s="17" t="s">
        <v>32</v>
      </c>
      <c r="AB163" s="17" t="s">
        <v>34</v>
      </c>
      <c r="AC163" s="17" t="s">
        <v>35</v>
      </c>
      <c r="AD163" s="17" t="s">
        <v>36</v>
      </c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39"/>
      <c r="X164" s="17"/>
      <c r="Y164" s="40" t="str">
        <f t="array" ref="Y164:AMX164">IF('STANDAR RESEP'!A178="", "", TRANSPOSE(INDIRECT(SUBSTITUTE(SUBSTITUTE(SUBSTITUTE('STANDAR RESEP'!A178, " ", "_"), "(", ""), ")", ""))))</f>
        <v>Ayam Fillet Saus Barbeque</v>
      </c>
      <c r="Z164" s="17" t="s">
        <v>30</v>
      </c>
      <c r="AA164" s="17" t="s">
        <v>32</v>
      </c>
      <c r="AB164" s="17" t="s">
        <v>34</v>
      </c>
      <c r="AC164" s="17" t="s">
        <v>35</v>
      </c>
      <c r="AD164" s="17" t="s">
        <v>36</v>
      </c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39"/>
      <c r="X165" s="17"/>
      <c r="Y165" s="40" t="str">
        <f t="array" ref="Y165:AMX165">IF('STANDAR RESEP'!A179="", "", TRANSPOSE(INDIRECT(SUBSTITUTE(SUBSTITUTE(SUBSTITUTE('STANDAR RESEP'!A179, " ", "_"), "(", ""), ")", ""))))</f>
        <v>Ayam Fillet Saus Barbeque</v>
      </c>
      <c r="Z165" s="17" t="s">
        <v>30</v>
      </c>
      <c r="AA165" s="17" t="s">
        <v>32</v>
      </c>
      <c r="AB165" s="17" t="s">
        <v>34</v>
      </c>
      <c r="AC165" s="17" t="s">
        <v>35</v>
      </c>
      <c r="AD165" s="17" t="s">
        <v>36</v>
      </c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39"/>
      <c r="X166" s="17"/>
      <c r="Y166" s="40" t="str">
        <f t="array" ref="Y166:AMX166">IF('STANDAR RESEP'!A180="", "", TRANSPOSE(INDIRECT(SUBSTITUTE(SUBSTITUTE(SUBSTITUTE('STANDAR RESEP'!A180, " ", "_"), "(", ""), ")", ""))))</f>
        <v>Ayam Fillet Saus Barbeque</v>
      </c>
      <c r="Z166" s="17" t="s">
        <v>30</v>
      </c>
      <c r="AA166" s="17" t="s">
        <v>32</v>
      </c>
      <c r="AB166" s="17" t="s">
        <v>34</v>
      </c>
      <c r="AC166" s="17" t="s">
        <v>35</v>
      </c>
      <c r="AD166" s="17" t="s">
        <v>36</v>
      </c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39"/>
      <c r="X167" s="17"/>
      <c r="Y167" s="40" t="str">
        <f t="array" ref="Y167:AMX167">IF('STANDAR RESEP'!A181="", "", TRANSPOSE(INDIRECT(SUBSTITUTE(SUBSTITUTE(SUBSTITUTE('STANDAR RESEP'!A181, " ", "_"), "(", ""), ")", ""))))</f>
        <v>Ayam Fillet Saus Barbeque</v>
      </c>
      <c r="Z167" s="17" t="s">
        <v>30</v>
      </c>
      <c r="AA167" s="17" t="s">
        <v>32</v>
      </c>
      <c r="AB167" s="17" t="s">
        <v>34</v>
      </c>
      <c r="AC167" s="17" t="s">
        <v>35</v>
      </c>
      <c r="AD167" s="17" t="s">
        <v>36</v>
      </c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39"/>
      <c r="X168" s="17"/>
      <c r="Y168" s="40" t="str">
        <f t="array" ref="Y168:AMX168">IF('STANDAR RESEP'!A182="", "", TRANSPOSE(INDIRECT(SUBSTITUTE(SUBSTITUTE(SUBSTITUTE('STANDAR RESEP'!A182, " ", "_"), "(", ""), ")", ""))))</f>
        <v>Ayam Fillet Saus Barbeque</v>
      </c>
      <c r="Z168" s="17" t="s">
        <v>30</v>
      </c>
      <c r="AA168" s="17" t="s">
        <v>32</v>
      </c>
      <c r="AB168" s="17" t="s">
        <v>34</v>
      </c>
      <c r="AC168" s="17" t="s">
        <v>35</v>
      </c>
      <c r="AD168" s="17" t="s">
        <v>36</v>
      </c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39"/>
      <c r="X169" s="17"/>
      <c r="Y169" s="40" t="str">
        <f t="array" ref="Y169:AMX169">IF('STANDAR RESEP'!A183="", "", TRANSPOSE(INDIRECT(SUBSTITUTE(SUBSTITUTE(SUBSTITUTE('STANDAR RESEP'!A183, " ", "_"), "(", ""), ")", ""))))</f>
        <v>Ayam Fillet Saus Barbeque</v>
      </c>
      <c r="Z169" s="17" t="s">
        <v>30</v>
      </c>
      <c r="AA169" s="17" t="s">
        <v>32</v>
      </c>
      <c r="AB169" s="17" t="s">
        <v>34</v>
      </c>
      <c r="AC169" s="17" t="s">
        <v>35</v>
      </c>
      <c r="AD169" s="17" t="s">
        <v>36</v>
      </c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39"/>
      <c r="X170" s="17"/>
      <c r="Y170" s="40" t="str">
        <f t="array" ref="Y170:AMX170">IF('STANDAR RESEP'!A184="", "", TRANSPOSE(INDIRECT(SUBSTITUTE(SUBSTITUTE(SUBSTITUTE('STANDAR RESEP'!A184, " ", "_"), "(", ""), ")", ""))))</f>
        <v>Ayam Fillet Saus Barbeque</v>
      </c>
      <c r="Z170" s="17" t="s">
        <v>30</v>
      </c>
      <c r="AA170" s="17" t="s">
        <v>32</v>
      </c>
      <c r="AB170" s="17" t="s">
        <v>34</v>
      </c>
      <c r="AC170" s="17" t="s">
        <v>35</v>
      </c>
      <c r="AD170" s="17" t="s">
        <v>36</v>
      </c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39"/>
      <c r="X171" s="17"/>
      <c r="Y171" s="40" t="str">
        <f t="array" ref="Y171:AMX171">IF('STANDAR RESEP'!A185="", "", TRANSPOSE(INDIRECT(SUBSTITUTE(SUBSTITUTE(SUBSTITUTE('STANDAR RESEP'!A185, " ", "_"), "(", ""), ")", ""))))</f>
        <v>Ayam Fillet Saus Barbeque</v>
      </c>
      <c r="Z171" s="17" t="s">
        <v>30</v>
      </c>
      <c r="AA171" s="17" t="s">
        <v>32</v>
      </c>
      <c r="AB171" s="17" t="s">
        <v>34</v>
      </c>
      <c r="AC171" s="17" t="s">
        <v>35</v>
      </c>
      <c r="AD171" s="17" t="s">
        <v>36</v>
      </c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39"/>
      <c r="X172" s="17"/>
      <c r="Y172" s="40" t="str">
        <f t="array" ref="Y172:AMX172">IF('STANDAR RESEP'!A187="", "", TRANSPOSE(INDIRECT(SUBSTITUTE(SUBSTITUTE(SUBSTITUTE('STANDAR RESEP'!A187, " ", "_"), "(", ""), ")", ""))))</f>
        <v>Ayam Fillet Saus Barbeque</v>
      </c>
      <c r="Z172" s="17" t="s">
        <v>30</v>
      </c>
      <c r="AA172" s="17" t="s">
        <v>32</v>
      </c>
      <c r="AB172" s="17" t="s">
        <v>34</v>
      </c>
      <c r="AC172" s="17" t="s">
        <v>35</v>
      </c>
      <c r="AD172" s="17" t="s">
        <v>36</v>
      </c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39"/>
      <c r="X173" s="17"/>
      <c r="Y173" s="40" t="str">
        <f t="array" ref="Y173:AMX173">IF('STANDAR RESEP'!A188="", "", TRANSPOSE(INDIRECT(SUBSTITUTE(SUBSTITUTE(SUBSTITUTE('STANDAR RESEP'!A188, " ", "_"), "(", ""), ")", ""))))</f>
        <v>Ayam Fillet Saus Barbeque</v>
      </c>
      <c r="Z173" s="17" t="s">
        <v>30</v>
      </c>
      <c r="AA173" s="17" t="s">
        <v>32</v>
      </c>
      <c r="AB173" s="17" t="s">
        <v>34</v>
      </c>
      <c r="AC173" s="17" t="s">
        <v>35</v>
      </c>
      <c r="AD173" s="17" t="s">
        <v>36</v>
      </c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39"/>
      <c r="X174" s="17"/>
      <c r="Y174" s="40" t="str">
        <f t="array" ref="Y174:AMX174">IF('STANDAR RESEP'!A189="", "", TRANSPOSE(INDIRECT(SUBSTITUTE(SUBSTITUTE(SUBSTITUTE('STANDAR RESEP'!A189, " ", "_"), "(", ""), ")", ""))))</f>
        <v>Ayam Fillet Saus Barbeque</v>
      </c>
      <c r="Z174" s="17" t="s">
        <v>30</v>
      </c>
      <c r="AA174" s="17" t="s">
        <v>32</v>
      </c>
      <c r="AB174" s="17" t="s">
        <v>34</v>
      </c>
      <c r="AC174" s="17" t="s">
        <v>35</v>
      </c>
      <c r="AD174" s="17" t="s">
        <v>36</v>
      </c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39"/>
      <c r="X175" s="17"/>
      <c r="Y175" s="40" t="str">
        <f t="array" ref="Y175:AMX175">IF('STANDAR RESEP'!A190="", "", TRANSPOSE(INDIRECT(SUBSTITUTE(SUBSTITUTE(SUBSTITUTE('STANDAR RESEP'!A190, " ", "_"), "(", ""), ")", ""))))</f>
        <v>Ayam Fillet Saus Barbeque</v>
      </c>
      <c r="Z175" s="17" t="s">
        <v>30</v>
      </c>
      <c r="AA175" s="17" t="s">
        <v>32</v>
      </c>
      <c r="AB175" s="17" t="s">
        <v>34</v>
      </c>
      <c r="AC175" s="17" t="s">
        <v>35</v>
      </c>
      <c r="AD175" s="17" t="s">
        <v>36</v>
      </c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39"/>
      <c r="X176" s="17"/>
      <c r="Y176" s="40" t="str">
        <f t="array" ref="Y176:AMX176">IF('STANDAR RESEP'!A191="", "", TRANSPOSE(INDIRECT(SUBSTITUTE(SUBSTITUTE(SUBSTITUTE('STANDAR RESEP'!A191, " ", "_"), "(", ""), ")", ""))))</f>
        <v>Ayam Fillet Saus Barbeque</v>
      </c>
      <c r="Z176" s="17" t="s">
        <v>30</v>
      </c>
      <c r="AA176" s="17" t="s">
        <v>32</v>
      </c>
      <c r="AB176" s="17" t="s">
        <v>34</v>
      </c>
      <c r="AC176" s="17" t="s">
        <v>35</v>
      </c>
      <c r="AD176" s="17" t="s">
        <v>36</v>
      </c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39"/>
      <c r="X177" s="17"/>
      <c r="Y177" s="40" t="str">
        <f t="array" ref="Y177:AMX177">IF('STANDAR RESEP'!A192="", "", TRANSPOSE(INDIRECT(SUBSTITUTE(SUBSTITUTE(SUBSTITUTE('STANDAR RESEP'!A192, " ", "_"), "(", ""), ")", ""))))</f>
        <v>Ayam Fillet Saus Barbeque</v>
      </c>
      <c r="Z177" s="17" t="s">
        <v>30</v>
      </c>
      <c r="AA177" s="17" t="s">
        <v>32</v>
      </c>
      <c r="AB177" s="17" t="s">
        <v>34</v>
      </c>
      <c r="AC177" s="17" t="s">
        <v>35</v>
      </c>
      <c r="AD177" s="17" t="s">
        <v>36</v>
      </c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39"/>
      <c r="X178" s="17"/>
      <c r="Y178" s="40" t="str">
        <f t="array" ref="Y178:AMX178">IF('STANDAR RESEP'!A193="", "", TRANSPOSE(INDIRECT(SUBSTITUTE(SUBSTITUTE(SUBSTITUTE('STANDAR RESEP'!A193, " ", "_"), "(", ""), ")", ""))))</f>
        <v>Ayam Fillet Saus Barbeque</v>
      </c>
      <c r="Z178" s="17" t="s">
        <v>30</v>
      </c>
      <c r="AA178" s="17" t="s">
        <v>32</v>
      </c>
      <c r="AB178" s="17" t="s">
        <v>34</v>
      </c>
      <c r="AC178" s="17" t="s">
        <v>35</v>
      </c>
      <c r="AD178" s="17" t="s">
        <v>36</v>
      </c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39"/>
      <c r="X179" s="17"/>
      <c r="Y179" s="40" t="str">
        <f t="array" ref="Y179:AMX179">IF('STANDAR RESEP'!A194="", "", TRANSPOSE(INDIRECT(SUBSTITUTE(SUBSTITUTE(SUBSTITUTE('STANDAR RESEP'!A194, " ", "_"), "(", ""), ")", ""))))</f>
        <v>Ayam Fillet Saus Barbeque</v>
      </c>
      <c r="Z179" s="17" t="s">
        <v>30</v>
      </c>
      <c r="AA179" s="17" t="s">
        <v>32</v>
      </c>
      <c r="AB179" s="17" t="s">
        <v>34</v>
      </c>
      <c r="AC179" s="17" t="s">
        <v>35</v>
      </c>
      <c r="AD179" s="17" t="s">
        <v>36</v>
      </c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39"/>
      <c r="X180" s="17"/>
      <c r="Y180" s="40" t="str">
        <f t="array" ref="Y180:AMX180">IF('STANDAR RESEP'!A195="", "", TRANSPOSE(INDIRECT(SUBSTITUTE(SUBSTITUTE(SUBSTITUTE('STANDAR RESEP'!A195, " ", "_"), "(", ""), ")", ""))))</f>
        <v>Ayam Fillet Saus Barbeque</v>
      </c>
      <c r="Z180" s="17" t="s">
        <v>30</v>
      </c>
      <c r="AA180" s="17" t="s">
        <v>32</v>
      </c>
      <c r="AB180" s="17" t="s">
        <v>34</v>
      </c>
      <c r="AC180" s="17" t="s">
        <v>35</v>
      </c>
      <c r="AD180" s="17" t="s">
        <v>36</v>
      </c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39"/>
      <c r="X181" s="17"/>
      <c r="Y181" s="40" t="str">
        <f t="array" ref="Y181:AMX181">IF('STANDAR RESEP'!A196="", "", TRANSPOSE(INDIRECT(SUBSTITUTE(SUBSTITUTE(SUBSTITUTE('STANDAR RESEP'!A196, " ", "_"), "(", ""), ")", ""))))</f>
        <v>Ayam Fillet Saus Barbeque</v>
      </c>
      <c r="Z181" s="17" t="s">
        <v>30</v>
      </c>
      <c r="AA181" s="17" t="s">
        <v>32</v>
      </c>
      <c r="AB181" s="17" t="s">
        <v>34</v>
      </c>
      <c r="AC181" s="17" t="s">
        <v>35</v>
      </c>
      <c r="AD181" s="17" t="s">
        <v>36</v>
      </c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39"/>
      <c r="X182" s="17"/>
      <c r="Y182" s="40" t="str">
        <f t="array" ref="Y182:AMX182">IF('STANDAR RESEP'!A197="", "", TRANSPOSE(INDIRECT(SUBSTITUTE(SUBSTITUTE(SUBSTITUTE('STANDAR RESEP'!A197, " ", "_"), "(", ""), ")", ""))))</f>
        <v>Ayam Fillet Saus Barbeque</v>
      </c>
      <c r="Z182" s="17" t="s">
        <v>30</v>
      </c>
      <c r="AA182" s="17" t="s">
        <v>32</v>
      </c>
      <c r="AB182" s="17" t="s">
        <v>34</v>
      </c>
      <c r="AC182" s="17" t="s">
        <v>35</v>
      </c>
      <c r="AD182" s="17" t="s">
        <v>36</v>
      </c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39"/>
      <c r="X183" s="17"/>
      <c r="Y183" s="40" t="str">
        <f t="array" ref="Y183:AMX183">IF('STANDAR RESEP'!A198="", "", TRANSPOSE(INDIRECT(SUBSTITUTE(SUBSTITUTE(SUBSTITUTE('STANDAR RESEP'!A198, " ", "_"), "(", ""), ")", ""))))</f>
        <v>Ayam Fillet Saus Barbeque</v>
      </c>
      <c r="Z183" s="17" t="s">
        <v>30</v>
      </c>
      <c r="AA183" s="17" t="s">
        <v>32</v>
      </c>
      <c r="AB183" s="17" t="s">
        <v>34</v>
      </c>
      <c r="AC183" s="17" t="s">
        <v>35</v>
      </c>
      <c r="AD183" s="17" t="s">
        <v>36</v>
      </c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39"/>
      <c r="X184" s="17"/>
      <c r="Y184" s="40" t="str">
        <f t="array" ref="Y184:AMX184">IF('STANDAR RESEP'!A200="", "", TRANSPOSE(INDIRECT(SUBSTITUTE(SUBSTITUTE(SUBSTITUTE('STANDAR RESEP'!A200, " ", "_"), "(", ""), ")", ""))))</f>
        <v>Ayam Fillet Saus Barbeque</v>
      </c>
      <c r="Z184" s="17" t="s">
        <v>30</v>
      </c>
      <c r="AA184" s="17" t="s">
        <v>32</v>
      </c>
      <c r="AB184" s="17" t="s">
        <v>34</v>
      </c>
      <c r="AC184" s="17" t="s">
        <v>35</v>
      </c>
      <c r="AD184" s="17" t="s">
        <v>36</v>
      </c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39"/>
      <c r="X185" s="17"/>
      <c r="Y185" s="40" t="str">
        <f t="array" ref="Y185:AMX185">IF('STANDAR RESEP'!A201="", "", TRANSPOSE(INDIRECT(SUBSTITUTE(SUBSTITUTE(SUBSTITUTE('STANDAR RESEP'!A201, " ", "_"), "(", ""), ")", ""))))</f>
        <v>Ayam Fillet Saus Barbeque</v>
      </c>
      <c r="Z185" s="17" t="s">
        <v>30</v>
      </c>
      <c r="AA185" s="17" t="s">
        <v>32</v>
      </c>
      <c r="AB185" s="17" t="s">
        <v>34</v>
      </c>
      <c r="AC185" s="17" t="s">
        <v>35</v>
      </c>
      <c r="AD185" s="17" t="s">
        <v>36</v>
      </c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39"/>
      <c r="X186" s="17"/>
      <c r="Y186" s="40" t="str">
        <f t="array" ref="Y186:AMX186">IF('STANDAR RESEP'!A202="", "", TRANSPOSE(INDIRECT(SUBSTITUTE(SUBSTITUTE(SUBSTITUTE('STANDAR RESEP'!A202, " ", "_"), "(", ""), ")", ""))))</f>
        <v>Ayam Fillet Saus Barbeque</v>
      </c>
      <c r="Z186" s="17" t="s">
        <v>30</v>
      </c>
      <c r="AA186" s="17" t="s">
        <v>32</v>
      </c>
      <c r="AB186" s="17" t="s">
        <v>34</v>
      </c>
      <c r="AC186" s="17" t="s">
        <v>35</v>
      </c>
      <c r="AD186" s="17" t="s">
        <v>36</v>
      </c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39"/>
      <c r="X187" s="17"/>
      <c r="Y187" s="40" t="str">
        <f t="array" ref="Y187:AMX187">IF('STANDAR RESEP'!A203="", "", TRANSPOSE(INDIRECT(SUBSTITUTE(SUBSTITUTE(SUBSTITUTE('STANDAR RESEP'!A203, " ", "_"), "(", ""), ")", ""))))</f>
        <v>Ayam Fillet Saus Barbeque</v>
      </c>
      <c r="Z187" s="17" t="s">
        <v>30</v>
      </c>
      <c r="AA187" s="17" t="s">
        <v>32</v>
      </c>
      <c r="AB187" s="17" t="s">
        <v>34</v>
      </c>
      <c r="AC187" s="17" t="s">
        <v>35</v>
      </c>
      <c r="AD187" s="17" t="s">
        <v>36</v>
      </c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39"/>
      <c r="X188" s="17"/>
      <c r="Y188" s="40" t="str">
        <f t="array" ref="Y188:AMX188">IF('STANDAR RESEP'!A204="", "", TRANSPOSE(INDIRECT(SUBSTITUTE(SUBSTITUTE(SUBSTITUTE('STANDAR RESEP'!A204, " ", "_"), "(", ""), ")", ""))))</f>
        <v>Ayam Fillet Saus Barbeque</v>
      </c>
      <c r="Z188" s="17" t="s">
        <v>30</v>
      </c>
      <c r="AA188" s="17" t="s">
        <v>32</v>
      </c>
      <c r="AB188" s="17" t="s">
        <v>34</v>
      </c>
      <c r="AC188" s="17" t="s">
        <v>35</v>
      </c>
      <c r="AD188" s="17" t="s">
        <v>36</v>
      </c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39"/>
      <c r="X189" s="17"/>
      <c r="Y189" s="40" t="str">
        <f t="array" ref="Y189:AMX189">IF('STANDAR RESEP'!A205="", "", TRANSPOSE(INDIRECT(SUBSTITUTE(SUBSTITUTE(SUBSTITUTE('STANDAR RESEP'!A205, " ", "_"), "(", ""), ")", ""))))</f>
        <v>Ayam Fillet Saus Barbeque</v>
      </c>
      <c r="Z189" s="17" t="s">
        <v>30</v>
      </c>
      <c r="AA189" s="17" t="s">
        <v>32</v>
      </c>
      <c r="AB189" s="17" t="s">
        <v>34</v>
      </c>
      <c r="AC189" s="17" t="s">
        <v>35</v>
      </c>
      <c r="AD189" s="17" t="s">
        <v>36</v>
      </c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39"/>
      <c r="X190" s="17"/>
      <c r="Y190" s="40" t="str">
        <f t="array" ref="Y190:AMX190">IF('STANDAR RESEP'!A206="", "", TRANSPOSE(INDIRECT(SUBSTITUTE(SUBSTITUTE(SUBSTITUTE('STANDAR RESEP'!A206, " ", "_"), "(", ""), ")", ""))))</f>
        <v>Ayam Fillet Saus Barbeque</v>
      </c>
      <c r="Z190" s="17" t="s">
        <v>30</v>
      </c>
      <c r="AA190" s="17" t="s">
        <v>32</v>
      </c>
      <c r="AB190" s="17" t="s">
        <v>34</v>
      </c>
      <c r="AC190" s="17" t="s">
        <v>35</v>
      </c>
      <c r="AD190" s="17" t="s">
        <v>36</v>
      </c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39"/>
      <c r="X191" s="17"/>
      <c r="Y191" s="40" t="str">
        <f t="array" ref="Y191:AMX191">IF('STANDAR RESEP'!A207="", "", TRANSPOSE(INDIRECT(SUBSTITUTE(SUBSTITUTE(SUBSTITUTE('STANDAR RESEP'!A207, " ", "_"), "(", ""), ")", ""))))</f>
        <v>Ayam Fillet Saus Barbeque</v>
      </c>
      <c r="Z191" s="17" t="s">
        <v>30</v>
      </c>
      <c r="AA191" s="17" t="s">
        <v>32</v>
      </c>
      <c r="AB191" s="17" t="s">
        <v>34</v>
      </c>
      <c r="AC191" s="17" t="s">
        <v>35</v>
      </c>
      <c r="AD191" s="17" t="s">
        <v>36</v>
      </c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39"/>
      <c r="X192" s="17"/>
      <c r="Y192" s="40" t="str">
        <f t="array" ref="Y192:AMX192">IF('STANDAR RESEP'!A208="", "", TRANSPOSE(INDIRECT(SUBSTITUTE(SUBSTITUTE(SUBSTITUTE('STANDAR RESEP'!A208, " ", "_"), "(", ""), ")", ""))))</f>
        <v>Ayam Fillet Saus Barbeque</v>
      </c>
      <c r="Z192" s="17" t="s">
        <v>30</v>
      </c>
      <c r="AA192" s="17" t="s">
        <v>32</v>
      </c>
      <c r="AB192" s="17" t="s">
        <v>34</v>
      </c>
      <c r="AC192" s="17" t="s">
        <v>35</v>
      </c>
      <c r="AD192" s="17" t="s">
        <v>36</v>
      </c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39"/>
      <c r="X193" s="17"/>
      <c r="Y193" s="40" t="str">
        <f t="array" ref="Y193:AMX193">IF('STANDAR RESEP'!A209="", "", TRANSPOSE(INDIRECT(SUBSTITUTE(SUBSTITUTE(SUBSTITUTE('STANDAR RESEP'!A209, " ", "_"), "(", ""), ")", ""))))</f>
        <v>Ayam Fillet Saus Barbeque</v>
      </c>
      <c r="Z193" s="17" t="s">
        <v>30</v>
      </c>
      <c r="AA193" s="17" t="s">
        <v>32</v>
      </c>
      <c r="AB193" s="17" t="s">
        <v>34</v>
      </c>
      <c r="AC193" s="17" t="s">
        <v>35</v>
      </c>
      <c r="AD193" s="17" t="s">
        <v>36</v>
      </c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39"/>
      <c r="X194" s="17"/>
      <c r="Y194" s="40" t="str">
        <f t="array" ref="Y194:AMX194">IF('STANDAR RESEP'!A211="", "", TRANSPOSE(INDIRECT(SUBSTITUTE(SUBSTITUTE(SUBSTITUTE('STANDAR RESEP'!A211, " ", "_"), "(", ""), ")", ""))))</f>
        <v>Ayam Fillet Saus Barbeque</v>
      </c>
      <c r="Z194" s="17" t="s">
        <v>30</v>
      </c>
      <c r="AA194" s="17" t="s">
        <v>32</v>
      </c>
      <c r="AB194" s="17" t="s">
        <v>34</v>
      </c>
      <c r="AC194" s="17" t="s">
        <v>35</v>
      </c>
      <c r="AD194" s="17" t="s">
        <v>36</v>
      </c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39"/>
      <c r="X195" s="17"/>
      <c r="Y195" s="40" t="str">
        <f t="array" ref="Y195:AMX195">IF('STANDAR RESEP'!A212="", "", TRANSPOSE(INDIRECT(SUBSTITUTE(SUBSTITUTE(SUBSTITUTE('STANDAR RESEP'!A212, " ", "_"), "(", ""), ")", ""))))</f>
        <v>Ayam Fillet Saus Barbeque</v>
      </c>
      <c r="Z195" s="17" t="s">
        <v>30</v>
      </c>
      <c r="AA195" s="17" t="s">
        <v>32</v>
      </c>
      <c r="AB195" s="17" t="s">
        <v>34</v>
      </c>
      <c r="AC195" s="17" t="s">
        <v>35</v>
      </c>
      <c r="AD195" s="17" t="s">
        <v>36</v>
      </c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39"/>
      <c r="X196" s="17"/>
      <c r="Y196" s="40" t="str">
        <f t="array" ref="Y196:AMX196">IF('STANDAR RESEP'!A213="", "", TRANSPOSE(INDIRECT(SUBSTITUTE(SUBSTITUTE(SUBSTITUTE('STANDAR RESEP'!A213, " ", "_"), "(", ""), ")", ""))))</f>
        <v>Ayam Fillet Saus Barbeque</v>
      </c>
      <c r="Z196" s="17" t="s">
        <v>30</v>
      </c>
      <c r="AA196" s="17" t="s">
        <v>32</v>
      </c>
      <c r="AB196" s="17" t="s">
        <v>34</v>
      </c>
      <c r="AC196" s="17" t="s">
        <v>35</v>
      </c>
      <c r="AD196" s="17" t="s">
        <v>36</v>
      </c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39"/>
      <c r="X197" s="17"/>
      <c r="Y197" s="40" t="str">
        <f t="array" ref="Y197:AMX197">IF('STANDAR RESEP'!A214="", "", TRANSPOSE(INDIRECT(SUBSTITUTE(SUBSTITUTE(SUBSTITUTE('STANDAR RESEP'!A214, " ", "_"), "(", ""), ")", ""))))</f>
        <v>Ayam Fillet Saus Barbeque</v>
      </c>
      <c r="Z197" s="17" t="s">
        <v>30</v>
      </c>
      <c r="AA197" s="17" t="s">
        <v>32</v>
      </c>
      <c r="AB197" s="17" t="s">
        <v>34</v>
      </c>
      <c r="AC197" s="17" t="s">
        <v>35</v>
      </c>
      <c r="AD197" s="17" t="s">
        <v>36</v>
      </c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39"/>
      <c r="X198" s="17"/>
      <c r="Y198" s="40" t="str">
        <f t="array" ref="Y198:AMX198">IF('STANDAR RESEP'!A215="", "", TRANSPOSE(INDIRECT(SUBSTITUTE(SUBSTITUTE(SUBSTITUTE('STANDAR RESEP'!A215, " ", "_"), "(", ""), ")", ""))))</f>
        <v>Ayam Fillet Saus Barbeque</v>
      </c>
      <c r="Z198" s="17" t="s">
        <v>30</v>
      </c>
      <c r="AA198" s="17" t="s">
        <v>32</v>
      </c>
      <c r="AB198" s="17" t="s">
        <v>34</v>
      </c>
      <c r="AC198" s="17" t="s">
        <v>35</v>
      </c>
      <c r="AD198" s="17" t="s">
        <v>36</v>
      </c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39"/>
      <c r="X199" s="17"/>
      <c r="Y199" s="40" t="str">
        <f t="array" ref="Y199:AMX199">IF('STANDAR RESEP'!A216="", "", TRANSPOSE(INDIRECT(SUBSTITUTE(SUBSTITUTE(SUBSTITUTE('STANDAR RESEP'!A216, " ", "_"), "(", ""), ")", ""))))</f>
        <v>Ayam Fillet Saus Barbeque</v>
      </c>
      <c r="Z199" s="17" t="s">
        <v>30</v>
      </c>
      <c r="AA199" s="17" t="s">
        <v>32</v>
      </c>
      <c r="AB199" s="17" t="s">
        <v>34</v>
      </c>
      <c r="AC199" s="17" t="s">
        <v>35</v>
      </c>
      <c r="AD199" s="17" t="s">
        <v>36</v>
      </c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39"/>
      <c r="X200" s="17"/>
      <c r="Y200" s="40" t="str">
        <f t="array" ref="Y200:AMX200">IF('STANDAR RESEP'!A217="", "", TRANSPOSE(INDIRECT(SUBSTITUTE(SUBSTITUTE(SUBSTITUTE('STANDAR RESEP'!A217, " ", "_"), "(", ""), ")", ""))))</f>
        <v>Ayam Fillet Saus Barbeque</v>
      </c>
      <c r="Z200" s="17" t="s">
        <v>30</v>
      </c>
      <c r="AA200" s="17" t="s">
        <v>32</v>
      </c>
      <c r="AB200" s="17" t="s">
        <v>34</v>
      </c>
      <c r="AC200" s="17" t="s">
        <v>35</v>
      </c>
      <c r="AD200" s="17" t="s">
        <v>36</v>
      </c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39"/>
      <c r="X201" s="17"/>
      <c r="Y201" s="40" t="str">
        <f t="array" ref="Y201:AMX201">IF('STANDAR RESEP'!A218="", "", TRANSPOSE(INDIRECT(SUBSTITUTE(SUBSTITUTE(SUBSTITUTE('STANDAR RESEP'!A218, " ", "_"), "(", ""), ")", ""))))</f>
        <v>Ayam Fillet Saus Barbeque</v>
      </c>
      <c r="Z201" s="17" t="s">
        <v>30</v>
      </c>
      <c r="AA201" s="17" t="s">
        <v>32</v>
      </c>
      <c r="AB201" s="17" t="s">
        <v>34</v>
      </c>
      <c r="AC201" s="17" t="s">
        <v>35</v>
      </c>
      <c r="AD201" s="17" t="s">
        <v>36</v>
      </c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39"/>
      <c r="X202" s="17"/>
      <c r="Y202" s="40" t="str">
        <f t="array" ref="Y202:AMX202">IF('STANDAR RESEP'!A219="", "", TRANSPOSE(INDIRECT(SUBSTITUTE(SUBSTITUTE(SUBSTITUTE('STANDAR RESEP'!A219, " ", "_"), "(", ""), ")", ""))))</f>
        <v>Ayam Fillet Saus Barbeque</v>
      </c>
      <c r="Z202" s="17" t="s">
        <v>30</v>
      </c>
      <c r="AA202" s="17" t="s">
        <v>32</v>
      </c>
      <c r="AB202" s="17" t="s">
        <v>34</v>
      </c>
      <c r="AC202" s="17" t="s">
        <v>35</v>
      </c>
      <c r="AD202" s="17" t="s">
        <v>36</v>
      </c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39"/>
      <c r="X203" s="17"/>
      <c r="Y203" s="40" t="str">
        <f t="array" ref="Y203:AMX203">IF('STANDAR RESEP'!A220="", "", TRANSPOSE(INDIRECT(SUBSTITUTE(SUBSTITUTE(SUBSTITUTE('STANDAR RESEP'!A220, " ", "_"), "(", ""), ")", ""))))</f>
        <v>Ayam Fillet Saus Barbeque</v>
      </c>
      <c r="Z203" s="17" t="s">
        <v>30</v>
      </c>
      <c r="AA203" s="17" t="s">
        <v>32</v>
      </c>
      <c r="AB203" s="17" t="s">
        <v>34</v>
      </c>
      <c r="AC203" s="17" t="s">
        <v>35</v>
      </c>
      <c r="AD203" s="17" t="s">
        <v>36</v>
      </c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39"/>
      <c r="X204" s="17"/>
      <c r="Y204" s="40" t="str">
        <f t="array" ref="Y204:AMX204">IF('STANDAR RESEP'!A221="", "", TRANSPOSE(INDIRECT(SUBSTITUTE(SUBSTITUTE(SUBSTITUTE('STANDAR RESEP'!A221, " ", "_"), "(", ""), ")", ""))))</f>
        <v>Balado Telur</v>
      </c>
      <c r="Z204" s="17" t="s">
        <v>42</v>
      </c>
      <c r="AA204" s="17" t="s">
        <v>38</v>
      </c>
      <c r="AB204" s="17" t="s">
        <v>40</v>
      </c>
      <c r="AC204" s="17" t="s">
        <v>41</v>
      </c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39"/>
      <c r="X205" s="17"/>
      <c r="Y205" s="40" t="str">
        <f t="array" ref="Y205:AMX205">IF('STANDAR RESEP'!A222="", "", TRANSPOSE(INDIRECT(SUBSTITUTE(SUBSTITUTE(SUBSTITUTE('STANDAR RESEP'!A222, " ", "_"), "(", ""), ")", ""))))</f>
        <v>Balado Telur</v>
      </c>
      <c r="Z205" s="17" t="s">
        <v>42</v>
      </c>
      <c r="AA205" s="17" t="s">
        <v>38</v>
      </c>
      <c r="AB205" s="17" t="s">
        <v>40</v>
      </c>
      <c r="AC205" s="17" t="s">
        <v>41</v>
      </c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39"/>
      <c r="X206" s="17"/>
      <c r="Y206" s="40" t="str">
        <f t="array" ref="Y206:AMX206">IF('STANDAR RESEP'!A223="", "", TRANSPOSE(INDIRECT(SUBSTITUTE(SUBSTITUTE(SUBSTITUTE('STANDAR RESEP'!A223, " ", "_"), "(", ""), ")", ""))))</f>
        <v>Balado Telur</v>
      </c>
      <c r="Z206" s="17" t="s">
        <v>42</v>
      </c>
      <c r="AA206" s="17" t="s">
        <v>38</v>
      </c>
      <c r="AB206" s="17" t="s">
        <v>40</v>
      </c>
      <c r="AC206" s="17" t="s">
        <v>41</v>
      </c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39"/>
      <c r="X207" s="17"/>
      <c r="Y207" s="40" t="str">
        <f t="array" ref="Y207:AMX207">IF('STANDAR RESEP'!A224="", "", TRANSPOSE(INDIRECT(SUBSTITUTE(SUBSTITUTE(SUBSTITUTE('STANDAR RESEP'!A224, " ", "_"), "(", ""), ")", ""))))</f>
        <v>Balado Telur</v>
      </c>
      <c r="Z207" s="17" t="s">
        <v>42</v>
      </c>
      <c r="AA207" s="17" t="s">
        <v>38</v>
      </c>
      <c r="AB207" s="17" t="s">
        <v>40</v>
      </c>
      <c r="AC207" s="17" t="s">
        <v>41</v>
      </c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39"/>
      <c r="X208" s="17"/>
      <c r="Y208" s="40" t="str">
        <f t="array" ref="Y208:AMX208">IF('STANDAR RESEP'!A225="", "", TRANSPOSE(INDIRECT(SUBSTITUTE(SUBSTITUTE(SUBSTITUTE('STANDAR RESEP'!A225, " ", "_"), "(", ""), ")", ""))))</f>
        <v>Balado Telur</v>
      </c>
      <c r="Z208" s="17" t="s">
        <v>42</v>
      </c>
      <c r="AA208" s="17" t="s">
        <v>38</v>
      </c>
      <c r="AB208" s="17" t="s">
        <v>40</v>
      </c>
      <c r="AC208" s="17" t="s">
        <v>41</v>
      </c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39"/>
      <c r="X209" s="17"/>
      <c r="Y209" s="40" t="str">
        <f t="array" ref="Y209:AMX209">IF('STANDAR RESEP'!A226="", "", TRANSPOSE(INDIRECT(SUBSTITUTE(SUBSTITUTE(SUBSTITUTE('STANDAR RESEP'!A226, " ", "_"), "(", ""), ")", ""))))</f>
        <v>Balado Telur</v>
      </c>
      <c r="Z209" s="17" t="s">
        <v>42</v>
      </c>
      <c r="AA209" s="17" t="s">
        <v>38</v>
      </c>
      <c r="AB209" s="17" t="s">
        <v>40</v>
      </c>
      <c r="AC209" s="17" t="s">
        <v>41</v>
      </c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39"/>
      <c r="X210" s="17"/>
      <c r="Y210" s="40" t="str">
        <f t="array" ref="Y210:AMX210">IF('STANDAR RESEP'!A227="", "", TRANSPOSE(INDIRECT(SUBSTITUTE(SUBSTITUTE(SUBSTITUTE('STANDAR RESEP'!A227, " ", "_"), "(", ""), ")", ""))))</f>
        <v>Balado Telur</v>
      </c>
      <c r="Z210" s="17" t="s">
        <v>42</v>
      </c>
      <c r="AA210" s="17" t="s">
        <v>38</v>
      </c>
      <c r="AB210" s="17" t="s">
        <v>40</v>
      </c>
      <c r="AC210" s="17" t="s">
        <v>41</v>
      </c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39"/>
      <c r="X211" s="17"/>
      <c r="Y211" s="40" t="str">
        <f t="array" ref="Y211:AMX211">IF('STANDAR RESEP'!A228="", "", TRANSPOSE(INDIRECT(SUBSTITUTE(SUBSTITUTE(SUBSTITUTE('STANDAR RESEP'!A228, " ", "_"), "(", ""), ")", ""))))</f>
        <v>Balado Telur</v>
      </c>
      <c r="Z211" s="17" t="s">
        <v>42</v>
      </c>
      <c r="AA211" s="17" t="s">
        <v>38</v>
      </c>
      <c r="AB211" s="17" t="s">
        <v>40</v>
      </c>
      <c r="AC211" s="17" t="s">
        <v>41</v>
      </c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39"/>
      <c r="X212" s="17"/>
      <c r="Y212" s="40" t="str">
        <f t="array" ref="Y212:AMX212">IF('STANDAR RESEP'!A229="", "", TRANSPOSE(INDIRECT(SUBSTITUTE(SUBSTITUTE(SUBSTITUTE('STANDAR RESEP'!A229, " ", "_"), "(", ""), ")", ""))))</f>
        <v>Balado Telur</v>
      </c>
      <c r="Z212" s="17" t="s">
        <v>42</v>
      </c>
      <c r="AA212" s="17" t="s">
        <v>38</v>
      </c>
      <c r="AB212" s="17" t="s">
        <v>40</v>
      </c>
      <c r="AC212" s="17" t="s">
        <v>41</v>
      </c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39"/>
      <c r="X213" s="17"/>
      <c r="Y213" s="40" t="str">
        <f t="array" ref="Y213:AMX213">IF('STANDAR RESEP'!A230="", "", TRANSPOSE(INDIRECT(SUBSTITUTE(SUBSTITUTE(SUBSTITUTE('STANDAR RESEP'!A230, " ", "_"), "(", ""), ")", ""))))</f>
        <v>Balado Telur</v>
      </c>
      <c r="Z213" s="17" t="s">
        <v>42</v>
      </c>
      <c r="AA213" s="17" t="s">
        <v>38</v>
      </c>
      <c r="AB213" s="17" t="s">
        <v>40</v>
      </c>
      <c r="AC213" s="17" t="s">
        <v>41</v>
      </c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39"/>
      <c r="X214" s="17"/>
      <c r="Y214" s="40" t="str">
        <f t="array" ref="Y214:AMX214">IF('STANDAR RESEP'!A231="", "", TRANSPOSE(INDIRECT(SUBSTITUTE(SUBSTITUTE(SUBSTITUTE('STANDAR RESEP'!A231, " ", "_"), "(", ""), ")", ""))))</f>
        <v>Balado Telur</v>
      </c>
      <c r="Z214" s="17" t="s">
        <v>42</v>
      </c>
      <c r="AA214" s="17" t="s">
        <v>38</v>
      </c>
      <c r="AB214" s="17" t="s">
        <v>40</v>
      </c>
      <c r="AC214" s="17" t="s">
        <v>41</v>
      </c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39"/>
      <c r="X215" s="17"/>
      <c r="Y215" s="40" t="str">
        <f t="array" ref="Y215:AMX215">IF('STANDAR RESEP'!A233="", "", TRANSPOSE(INDIRECT(SUBSTITUTE(SUBSTITUTE(SUBSTITUTE('STANDAR RESEP'!A233, " ", "_"), "(", ""), ")", ""))))</f>
        <v>Balado Telur</v>
      </c>
      <c r="Z215" s="17" t="s">
        <v>42</v>
      </c>
      <c r="AA215" s="17" t="s">
        <v>38</v>
      </c>
      <c r="AB215" s="17" t="s">
        <v>40</v>
      </c>
      <c r="AC215" s="17" t="s">
        <v>41</v>
      </c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39"/>
      <c r="X216" s="17"/>
      <c r="Y216" s="40" t="str">
        <f t="array" ref="Y216:AMX216">IF('STANDAR RESEP'!A234="", "", TRANSPOSE(INDIRECT(SUBSTITUTE(SUBSTITUTE(SUBSTITUTE('STANDAR RESEP'!A234, " ", "_"), "(", ""), ")", ""))))</f>
        <v>Balado Telur</v>
      </c>
      <c r="Z216" s="17" t="s">
        <v>42</v>
      </c>
      <c r="AA216" s="17" t="s">
        <v>38</v>
      </c>
      <c r="AB216" s="17" t="s">
        <v>40</v>
      </c>
      <c r="AC216" s="17" t="s">
        <v>41</v>
      </c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39"/>
      <c r="X217" s="17"/>
      <c r="Y217" s="40" t="str">
        <f t="array" ref="Y217:AMX217">IF('STANDAR RESEP'!A235="", "", TRANSPOSE(INDIRECT(SUBSTITUTE(SUBSTITUTE(SUBSTITUTE('STANDAR RESEP'!A235, " ", "_"), "(", ""), ")", ""))))</f>
        <v>Balado Telur</v>
      </c>
      <c r="Z217" s="17" t="s">
        <v>42</v>
      </c>
      <c r="AA217" s="17" t="s">
        <v>38</v>
      </c>
      <c r="AB217" s="17" t="s">
        <v>40</v>
      </c>
      <c r="AC217" s="17" t="s">
        <v>41</v>
      </c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39"/>
      <c r="X218" s="17"/>
      <c r="Y218" s="40" t="str">
        <f t="array" ref="Y218:AMX218">IF('STANDAR RESEP'!A236="", "", TRANSPOSE(INDIRECT(SUBSTITUTE(SUBSTITUTE(SUBSTITUTE('STANDAR RESEP'!A236, " ", "_"), "(", ""), ")", ""))))</f>
        <v>Balado Telur</v>
      </c>
      <c r="Z218" s="17" t="s">
        <v>42</v>
      </c>
      <c r="AA218" s="17" t="s">
        <v>38</v>
      </c>
      <c r="AB218" s="17" t="s">
        <v>40</v>
      </c>
      <c r="AC218" s="17" t="s">
        <v>41</v>
      </c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39"/>
      <c r="X219" s="17"/>
      <c r="Y219" s="40" t="str">
        <f t="array" ref="Y219:AMX219">IF('STANDAR RESEP'!A237="", "", TRANSPOSE(INDIRECT(SUBSTITUTE(SUBSTITUTE(SUBSTITUTE('STANDAR RESEP'!A237, " ", "_"), "(", ""), ")", ""))))</f>
        <v>Balado Telur</v>
      </c>
      <c r="Z219" s="17" t="s">
        <v>42</v>
      </c>
      <c r="AA219" s="17" t="s">
        <v>38</v>
      </c>
      <c r="AB219" s="17" t="s">
        <v>40</v>
      </c>
      <c r="AC219" s="17" t="s">
        <v>41</v>
      </c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39"/>
      <c r="X220" s="17"/>
      <c r="Y220" s="40" t="str">
        <f t="array" ref="Y220:AMX220">IF('STANDAR RESEP'!A238="", "", TRANSPOSE(INDIRECT(SUBSTITUTE(SUBSTITUTE(SUBSTITUTE('STANDAR RESEP'!A238, " ", "_"), "(", ""), ")", ""))))</f>
        <v>Balado Telur</v>
      </c>
      <c r="Z220" s="17" t="s">
        <v>42</v>
      </c>
      <c r="AA220" s="17" t="s">
        <v>38</v>
      </c>
      <c r="AB220" s="17" t="s">
        <v>40</v>
      </c>
      <c r="AC220" s="17" t="s">
        <v>41</v>
      </c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39"/>
      <c r="X221" s="17"/>
      <c r="Y221" s="40" t="str">
        <f t="array" ref="Y221:AMX221">IF('STANDAR RESEP'!A239="", "", TRANSPOSE(INDIRECT(SUBSTITUTE(SUBSTITUTE(SUBSTITUTE('STANDAR RESEP'!A239, " ", "_"), "(", ""), ")", ""))))</f>
        <v>Balado Telur</v>
      </c>
      <c r="Z221" s="17" t="s">
        <v>42</v>
      </c>
      <c r="AA221" s="17" t="s">
        <v>38</v>
      </c>
      <c r="AB221" s="17" t="s">
        <v>40</v>
      </c>
      <c r="AC221" s="17" t="s">
        <v>41</v>
      </c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39"/>
      <c r="X222" s="17"/>
      <c r="Y222" s="40" t="str">
        <f t="array" ref="Y222:AMX222">IF('STANDAR RESEP'!A240="", "", TRANSPOSE(INDIRECT(SUBSTITUTE(SUBSTITUTE(SUBSTITUTE('STANDAR RESEP'!A240, " ", "_"), "(", ""), ")", ""))))</f>
        <v>Balado Telur</v>
      </c>
      <c r="Z222" s="17" t="s">
        <v>42</v>
      </c>
      <c r="AA222" s="17" t="s">
        <v>38</v>
      </c>
      <c r="AB222" s="17" t="s">
        <v>40</v>
      </c>
      <c r="AC222" s="17" t="s">
        <v>41</v>
      </c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39"/>
      <c r="X223" s="17"/>
      <c r="Y223" s="40" t="str">
        <f t="array" ref="Y223:AMX223">IF('STANDAR RESEP'!A242="", "", TRANSPOSE(INDIRECT(SUBSTITUTE(SUBSTITUTE(SUBSTITUTE('STANDAR RESEP'!A242, " ", "_"), "(", ""), ")", ""))))</f>
        <v>Balado Telur</v>
      </c>
      <c r="Z223" s="17" t="s">
        <v>42</v>
      </c>
      <c r="AA223" s="17" t="s">
        <v>38</v>
      </c>
      <c r="AB223" s="17" t="s">
        <v>40</v>
      </c>
      <c r="AC223" s="17" t="s">
        <v>41</v>
      </c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39"/>
      <c r="X224" s="17"/>
      <c r="Y224" s="40" t="str">
        <f t="array" ref="Y224:AMX224">IF('STANDAR RESEP'!A244="", "", TRANSPOSE(INDIRECT(SUBSTITUTE(SUBSTITUTE(SUBSTITUTE('STANDAR RESEP'!A244, " ", "_"), "(", ""), ")", ""))))</f>
        <v>Balado Telur</v>
      </c>
      <c r="Z224" s="17" t="s">
        <v>42</v>
      </c>
      <c r="AA224" s="17" t="s">
        <v>38</v>
      </c>
      <c r="AB224" s="17" t="s">
        <v>40</v>
      </c>
      <c r="AC224" s="17" t="s">
        <v>41</v>
      </c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39"/>
      <c r="X225" s="17"/>
      <c r="Y225" s="40" t="str">
        <f t="array" ref="Y225:AMX225">IF('STANDAR RESEP'!A245="", "", TRANSPOSE(INDIRECT(SUBSTITUTE(SUBSTITUTE(SUBSTITUTE('STANDAR RESEP'!A245, " ", "_"), "(", ""), ")", ""))))</f>
        <v>Balado Telur</v>
      </c>
      <c r="Z225" s="17" t="s">
        <v>42</v>
      </c>
      <c r="AA225" s="17" t="s">
        <v>38</v>
      </c>
      <c r="AB225" s="17" t="s">
        <v>40</v>
      </c>
      <c r="AC225" s="17" t="s">
        <v>41</v>
      </c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39"/>
      <c r="X226" s="17"/>
      <c r="Y226" s="40" t="str">
        <f t="array" ref="Y226:AMX226">IF('STANDAR RESEP'!A246="", "", TRANSPOSE(INDIRECT(SUBSTITUTE(SUBSTITUTE(SUBSTITUTE('STANDAR RESEP'!A246, " ", "_"), "(", ""), ")", ""))))</f>
        <v>Balado Telur</v>
      </c>
      <c r="Z226" s="17" t="s">
        <v>42</v>
      </c>
      <c r="AA226" s="17" t="s">
        <v>38</v>
      </c>
      <c r="AB226" s="17" t="s">
        <v>40</v>
      </c>
      <c r="AC226" s="17" t="s">
        <v>41</v>
      </c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39"/>
      <c r="X227" s="17"/>
      <c r="Y227" s="40" t="str">
        <f t="array" ref="Y227:AMX227">IF('STANDAR RESEP'!A247="", "", TRANSPOSE(INDIRECT(SUBSTITUTE(SUBSTITUTE(SUBSTITUTE('STANDAR RESEP'!A247, " ", "_"), "(", ""), ")", ""))))</f>
        <v>Balado Telur</v>
      </c>
      <c r="Z227" s="17" t="s">
        <v>42</v>
      </c>
      <c r="AA227" s="17" t="s">
        <v>38</v>
      </c>
      <c r="AB227" s="17" t="s">
        <v>40</v>
      </c>
      <c r="AC227" s="17" t="s">
        <v>41</v>
      </c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39"/>
      <c r="X228" s="17"/>
      <c r="Y228" s="40" t="str">
        <f t="array" ref="Y228:AMX228">IF('STANDAR RESEP'!A248="", "", TRANSPOSE(INDIRECT(SUBSTITUTE(SUBSTITUTE(SUBSTITUTE('STANDAR RESEP'!A248, " ", "_"), "(", ""), ")", ""))))</f>
        <v>Balado Telur</v>
      </c>
      <c r="Z228" s="17" t="s">
        <v>42</v>
      </c>
      <c r="AA228" s="17" t="s">
        <v>38</v>
      </c>
      <c r="AB228" s="17" t="s">
        <v>40</v>
      </c>
      <c r="AC228" s="17" t="s">
        <v>41</v>
      </c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39"/>
      <c r="X229" s="17"/>
      <c r="Y229" s="40" t="str">
        <f t="array" ref="Y229:AMX229">IF('STANDAR RESEP'!A249="", "", TRANSPOSE(INDIRECT(SUBSTITUTE(SUBSTITUTE(SUBSTITUTE('STANDAR RESEP'!A249, " ", "_"), "(", ""), ")", ""))))</f>
        <v>Balado Telur</v>
      </c>
      <c r="Z229" s="17" t="s">
        <v>42</v>
      </c>
      <c r="AA229" s="17" t="s">
        <v>38</v>
      </c>
      <c r="AB229" s="17" t="s">
        <v>40</v>
      </c>
      <c r="AC229" s="17" t="s">
        <v>41</v>
      </c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39"/>
      <c r="X230" s="17"/>
      <c r="Y230" s="40" t="str">
        <f t="array" ref="Y230:AMX230">IF('STANDAR RESEP'!A251="", "", TRANSPOSE(INDIRECT(SUBSTITUTE(SUBSTITUTE(SUBSTITUTE('STANDAR RESEP'!A251, " ", "_"), "(", ""), ")", ""))))</f>
        <v>Balado Telur</v>
      </c>
      <c r="Z230" s="17" t="s">
        <v>42</v>
      </c>
      <c r="AA230" s="17" t="s">
        <v>38</v>
      </c>
      <c r="AB230" s="17" t="s">
        <v>40</v>
      </c>
      <c r="AC230" s="17" t="s">
        <v>41</v>
      </c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39"/>
      <c r="X231" s="17"/>
      <c r="Y231" s="40" t="str">
        <f t="array" ref="Y231:AMX231">IF('STANDAR RESEP'!A252="", "", TRANSPOSE(INDIRECT(SUBSTITUTE(SUBSTITUTE(SUBSTITUTE('STANDAR RESEP'!A252, " ", "_"), "(", ""), ")", ""))))</f>
        <v>Balado Telur</v>
      </c>
      <c r="Z231" s="17" t="s">
        <v>42</v>
      </c>
      <c r="AA231" s="17" t="s">
        <v>38</v>
      </c>
      <c r="AB231" s="17" t="s">
        <v>40</v>
      </c>
      <c r="AC231" s="17" t="s">
        <v>41</v>
      </c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39"/>
      <c r="X232" s="17"/>
      <c r="Y232" s="40" t="str">
        <f t="array" ref="Y232:AMX232">IF('STANDAR RESEP'!A253="", "", TRANSPOSE(INDIRECT(SUBSTITUTE(SUBSTITUTE(SUBSTITUTE('STANDAR RESEP'!A253, " ", "_"), "(", ""), ")", ""))))</f>
        <v>Balado Telur</v>
      </c>
      <c r="Z232" s="17" t="s">
        <v>42</v>
      </c>
      <c r="AA232" s="17" t="s">
        <v>38</v>
      </c>
      <c r="AB232" s="17" t="s">
        <v>40</v>
      </c>
      <c r="AC232" s="17" t="s">
        <v>41</v>
      </c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39"/>
      <c r="X233" s="17"/>
      <c r="Y233" s="40" t="str">
        <f t="array" ref="Y233:AMX233">IF('STANDAR RESEP'!A254="", "", TRANSPOSE(INDIRECT(SUBSTITUTE(SUBSTITUTE(SUBSTITUTE('STANDAR RESEP'!A254, " ", "_"), "(", ""), ")", ""))))</f>
        <v>Balado Telur</v>
      </c>
      <c r="Z233" s="17" t="s">
        <v>42</v>
      </c>
      <c r="AA233" s="17" t="s">
        <v>38</v>
      </c>
      <c r="AB233" s="17" t="s">
        <v>40</v>
      </c>
      <c r="AC233" s="17" t="s">
        <v>41</v>
      </c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39"/>
      <c r="X234" s="17"/>
      <c r="Y234" s="40" t="str">
        <f t="array" ref="Y234:AMX234">IF('STANDAR RESEP'!A255="", "", TRANSPOSE(INDIRECT(SUBSTITUTE(SUBSTITUTE(SUBSTITUTE('STANDAR RESEP'!A255, " ", "_"), "(", ""), ")", ""))))</f>
        <v>Balado Telur</v>
      </c>
      <c r="Z234" s="17" t="s">
        <v>42</v>
      </c>
      <c r="AA234" s="17" t="s">
        <v>38</v>
      </c>
      <c r="AB234" s="17" t="s">
        <v>40</v>
      </c>
      <c r="AC234" s="17" t="s">
        <v>41</v>
      </c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39"/>
      <c r="X235" s="17"/>
      <c r="Y235" s="40" t="str">
        <f t="array" ref="Y235:AMX235">IF('STANDAR RESEP'!A256="", "", TRANSPOSE(INDIRECT(SUBSTITUTE(SUBSTITUTE(SUBSTITUTE('STANDAR RESEP'!A256, " ", "_"), "(", ""), ")", ""))))</f>
        <v>Balado Telur</v>
      </c>
      <c r="Z235" s="17" t="s">
        <v>42</v>
      </c>
      <c r="AA235" s="17" t="s">
        <v>38</v>
      </c>
      <c r="AB235" s="17" t="s">
        <v>40</v>
      </c>
      <c r="AC235" s="17" t="s">
        <v>41</v>
      </c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39"/>
      <c r="X236" s="17"/>
      <c r="Y236" s="40" t="str">
        <f t="array" ref="Y236:AMX236">IF('STANDAR RESEP'!A257="", "", TRANSPOSE(INDIRECT(SUBSTITUTE(SUBSTITUTE(SUBSTITUTE('STANDAR RESEP'!A257, " ", "_"), "(", ""), ")", ""))))</f>
        <v>Balado Telur</v>
      </c>
      <c r="Z236" s="17" t="s">
        <v>42</v>
      </c>
      <c r="AA236" s="17" t="s">
        <v>38</v>
      </c>
      <c r="AB236" s="17" t="s">
        <v>40</v>
      </c>
      <c r="AC236" s="17" t="s">
        <v>41</v>
      </c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39"/>
      <c r="X237" s="17"/>
      <c r="Y237" s="40" t="str">
        <f t="array" ref="Y237:AMX237">IF('STANDAR RESEP'!A258="", "", TRANSPOSE(INDIRECT(SUBSTITUTE(SUBSTITUTE(SUBSTITUTE('STANDAR RESEP'!A258, " ", "_"), "(", ""), ")", ""))))</f>
        <v>Beef Slice Barbeque</v>
      </c>
      <c r="Z237" s="17" t="s">
        <v>47</v>
      </c>
      <c r="AA237" s="17" t="s">
        <v>48</v>
      </c>
      <c r="AB237" s="17" t="s">
        <v>49</v>
      </c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39"/>
      <c r="X238" s="17"/>
      <c r="Y238" s="40" t="str">
        <f t="array" ref="Y238:AMX238">IF('STANDAR RESEP'!A259="", "", TRANSPOSE(INDIRECT(SUBSTITUTE(SUBSTITUTE(SUBSTITUTE('STANDAR RESEP'!A259, " ", "_"), "(", ""), ")", ""))))</f>
        <v>Beef Slice Barbeque</v>
      </c>
      <c r="Z238" s="17" t="s">
        <v>47</v>
      </c>
      <c r="AA238" s="17" t="s">
        <v>48</v>
      </c>
      <c r="AB238" s="17" t="s">
        <v>49</v>
      </c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39"/>
      <c r="X239" s="17"/>
      <c r="Y239" s="40" t="str">
        <f t="array" ref="Y239:AMX239">IF('STANDAR RESEP'!A260="", "", TRANSPOSE(INDIRECT(SUBSTITUTE(SUBSTITUTE(SUBSTITUTE('STANDAR RESEP'!A260, " ", "_"), "(", ""), ")", ""))))</f>
        <v>Beef Slice Barbeque</v>
      </c>
      <c r="Z239" s="17" t="s">
        <v>47</v>
      </c>
      <c r="AA239" s="17" t="s">
        <v>48</v>
      </c>
      <c r="AB239" s="17" t="s">
        <v>49</v>
      </c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39"/>
      <c r="X240" s="17"/>
      <c r="Y240" s="40" t="str">
        <f t="array" ref="Y240:AMX240">IF('STANDAR RESEP'!A261="", "", TRANSPOSE(INDIRECT(SUBSTITUTE(SUBSTITUTE(SUBSTITUTE('STANDAR RESEP'!A261, " ", "_"), "(", ""), ")", ""))))</f>
        <v>Beef Slice Barbeque</v>
      </c>
      <c r="Z240" s="17" t="s">
        <v>47</v>
      </c>
      <c r="AA240" s="17" t="s">
        <v>48</v>
      </c>
      <c r="AB240" s="17" t="s">
        <v>49</v>
      </c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39"/>
      <c r="X241" s="17"/>
      <c r="Y241" s="40" t="str">
        <f t="array" ref="Y241:AMX241">IF('STANDAR RESEP'!A262="", "", TRANSPOSE(INDIRECT(SUBSTITUTE(SUBSTITUTE(SUBSTITUTE('STANDAR RESEP'!A262, " ", "_"), "(", ""), ")", ""))))</f>
        <v>Beef Slice Barbeque</v>
      </c>
      <c r="Z241" s="17" t="s">
        <v>47</v>
      </c>
      <c r="AA241" s="17" t="s">
        <v>48</v>
      </c>
      <c r="AB241" s="17" t="s">
        <v>49</v>
      </c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39"/>
      <c r="X242" s="17"/>
      <c r="Y242" s="40" t="str">
        <f t="array" ref="Y242:AMX242">IF('STANDAR RESEP'!A263="", "", TRANSPOSE(INDIRECT(SUBSTITUTE(SUBSTITUTE(SUBSTITUTE('STANDAR RESEP'!A263, " ", "_"), "(", ""), ")", ""))))</f>
        <v>Beef Slice Barbeque</v>
      </c>
      <c r="Z242" s="17" t="s">
        <v>47</v>
      </c>
      <c r="AA242" s="17" t="s">
        <v>48</v>
      </c>
      <c r="AB242" s="17" t="s">
        <v>49</v>
      </c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39"/>
      <c r="X243" s="17"/>
      <c r="Y243" s="40" t="str">
        <f t="array" ref="Y243:AMX243">IF('STANDAR RESEP'!A264="", "", TRANSPOSE(INDIRECT(SUBSTITUTE(SUBSTITUTE(SUBSTITUTE('STANDAR RESEP'!A264, " ", "_"), "(", ""), ")", ""))))</f>
        <v>Beef Slice Barbeque</v>
      </c>
      <c r="Z243" s="17" t="s">
        <v>47</v>
      </c>
      <c r="AA243" s="17" t="s">
        <v>48</v>
      </c>
      <c r="AB243" s="17" t="s">
        <v>49</v>
      </c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39"/>
      <c r="X244" s="17"/>
      <c r="Y244" s="40" t="str">
        <f t="array" ref="Y244:AMX244">IF('STANDAR RESEP'!A265="", "", TRANSPOSE(INDIRECT(SUBSTITUTE(SUBSTITUTE(SUBSTITUTE('STANDAR RESEP'!A265, " ", "_"), "(", ""), ")", ""))))</f>
        <v>Beef Slice Barbeque</v>
      </c>
      <c r="Z244" s="17" t="s">
        <v>47</v>
      </c>
      <c r="AA244" s="17" t="s">
        <v>48</v>
      </c>
      <c r="AB244" s="17" t="s">
        <v>49</v>
      </c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39"/>
      <c r="X245" s="17"/>
      <c r="Y245" s="40" t="str">
        <f t="array" ref="Y245:AMX245">IF('STANDAR RESEP'!A266="", "", TRANSPOSE(INDIRECT(SUBSTITUTE(SUBSTITUTE(SUBSTITUTE('STANDAR RESEP'!A266, " ", "_"), "(", ""), ")", ""))))</f>
        <v>Beef Slice Barbeque</v>
      </c>
      <c r="Z245" s="17" t="s">
        <v>47</v>
      </c>
      <c r="AA245" s="17" t="s">
        <v>48</v>
      </c>
      <c r="AB245" s="17" t="s">
        <v>49</v>
      </c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39"/>
      <c r="X246" s="17"/>
      <c r="Y246" s="40" t="str">
        <f t="array" ref="Y246:AMX246">IF('STANDAR RESEP'!A267="", "", TRANSPOSE(INDIRECT(SUBSTITUTE(SUBSTITUTE(SUBSTITUTE('STANDAR RESEP'!A267, " ", "_"), "(", ""), ")", ""))))</f>
        <v>Beef Slice Barbeque</v>
      </c>
      <c r="Z246" s="17" t="s">
        <v>47</v>
      </c>
      <c r="AA246" s="17" t="s">
        <v>48</v>
      </c>
      <c r="AB246" s="17" t="s">
        <v>49</v>
      </c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39"/>
      <c r="X247" s="17"/>
      <c r="Y247" s="40" t="str">
        <f t="array" ref="Y247:AMX247">IF('STANDAR RESEP'!A268="", "", TRANSPOSE(INDIRECT(SUBSTITUTE(SUBSTITUTE(SUBSTITUTE('STANDAR RESEP'!A268, " ", "_"), "(", ""), ")", ""))))</f>
        <v>Beef Slice Barbeque</v>
      </c>
      <c r="Z247" s="17" t="s">
        <v>47</v>
      </c>
      <c r="AA247" s="17" t="s">
        <v>48</v>
      </c>
      <c r="AB247" s="17" t="s">
        <v>49</v>
      </c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39"/>
      <c r="X248" s="17"/>
      <c r="Y248" s="40" t="str">
        <f t="array" ref="Y248:AMX248">IF('STANDAR RESEP'!A269="", "", TRANSPOSE(INDIRECT(SUBSTITUTE(SUBSTITUTE(SUBSTITUTE('STANDAR RESEP'!A269, " ", "_"), "(", ""), ")", ""))))</f>
        <v>Beef Slice Barbeque</v>
      </c>
      <c r="Z248" s="17" t="s">
        <v>47</v>
      </c>
      <c r="AA248" s="17" t="s">
        <v>48</v>
      </c>
      <c r="AB248" s="17" t="s">
        <v>49</v>
      </c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39"/>
      <c r="X249" s="17"/>
      <c r="Y249" s="40" t="str">
        <f t="array" ref="Y249:AMX249">IF('STANDAR RESEP'!A271="", "", TRANSPOSE(INDIRECT(SUBSTITUTE(SUBSTITUTE(SUBSTITUTE('STANDAR RESEP'!A271, " ", "_"), "(", ""), ")", ""))))</f>
        <v>Beef Slice Barbeque</v>
      </c>
      <c r="Z249" s="17" t="s">
        <v>47</v>
      </c>
      <c r="AA249" s="17" t="s">
        <v>48</v>
      </c>
      <c r="AB249" s="17" t="s">
        <v>49</v>
      </c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39"/>
      <c r="X250" s="17"/>
      <c r="Y250" s="40" t="str">
        <f t="array" ref="Y250:AMX250">IF('STANDAR RESEP'!A272="", "", TRANSPOSE(INDIRECT(SUBSTITUTE(SUBSTITUTE(SUBSTITUTE('STANDAR RESEP'!A272, " ", "_"), "(", ""), ")", ""))))</f>
        <v>Beef Slice Barbeque</v>
      </c>
      <c r="Z250" s="17" t="s">
        <v>47</v>
      </c>
      <c r="AA250" s="17" t="s">
        <v>48</v>
      </c>
      <c r="AB250" s="17" t="s">
        <v>49</v>
      </c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39"/>
      <c r="X251" s="17"/>
      <c r="Y251" s="40" t="str">
        <f t="array" ref="Y251:AMX251">IF('STANDAR RESEP'!A273="", "", TRANSPOSE(INDIRECT(SUBSTITUTE(SUBSTITUTE(SUBSTITUTE('STANDAR RESEP'!A273, " ", "_"), "(", ""), ")", ""))))</f>
        <v>Beef Slice Barbeque</v>
      </c>
      <c r="Z251" s="17" t="s">
        <v>47</v>
      </c>
      <c r="AA251" s="17" t="s">
        <v>48</v>
      </c>
      <c r="AB251" s="17" t="s">
        <v>49</v>
      </c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39"/>
      <c r="X252" s="17"/>
      <c r="Y252" s="40" t="str">
        <f t="array" ref="Y252:AMX252">IF('STANDAR RESEP'!A274="", "", TRANSPOSE(INDIRECT(SUBSTITUTE(SUBSTITUTE(SUBSTITUTE('STANDAR RESEP'!A274, " ", "_"), "(", ""), ")", ""))))</f>
        <v>Beef Slice Barbeque</v>
      </c>
      <c r="Z252" s="17" t="s">
        <v>47</v>
      </c>
      <c r="AA252" s="17" t="s">
        <v>48</v>
      </c>
      <c r="AB252" s="17" t="s">
        <v>49</v>
      </c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39"/>
      <c r="X253" s="17"/>
      <c r="Y253" s="40" t="str">
        <f t="array" ref="Y253:AMX253">IF('STANDAR RESEP'!A275="", "", TRANSPOSE(INDIRECT(SUBSTITUTE(SUBSTITUTE(SUBSTITUTE('STANDAR RESEP'!A275, " ", "_"), "(", ""), ")", ""))))</f>
        <v>Beef Slice Barbeque</v>
      </c>
      <c r="Z253" s="17" t="s">
        <v>47</v>
      </c>
      <c r="AA253" s="17" t="s">
        <v>48</v>
      </c>
      <c r="AB253" s="17" t="s">
        <v>49</v>
      </c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39"/>
      <c r="X254" s="17"/>
      <c r="Y254" s="40" t="str">
        <f t="array" ref="Y254:AMX254">IF('STANDAR RESEP'!A276="", "", TRANSPOSE(INDIRECT(SUBSTITUTE(SUBSTITUTE(SUBSTITUTE('STANDAR RESEP'!A276, " ", "_"), "(", ""), ")", ""))))</f>
        <v>Beef Slice Barbeque</v>
      </c>
      <c r="Z254" s="17" t="s">
        <v>47</v>
      </c>
      <c r="AA254" s="17" t="s">
        <v>48</v>
      </c>
      <c r="AB254" s="17" t="s">
        <v>49</v>
      </c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39"/>
      <c r="X255" s="17"/>
      <c r="Y255" s="40" t="str">
        <f t="array" ref="Y255:AMX255">IF('STANDAR RESEP'!A277="", "", TRANSPOSE(INDIRECT(SUBSTITUTE(SUBSTITUTE(SUBSTITUTE('STANDAR RESEP'!A277, " ", "_"), "(", ""), ")", ""))))</f>
        <v>Beef Slice Barbeque</v>
      </c>
      <c r="Z255" s="17" t="s">
        <v>47</v>
      </c>
      <c r="AA255" s="17" t="s">
        <v>48</v>
      </c>
      <c r="AB255" s="17" t="s">
        <v>49</v>
      </c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39"/>
      <c r="X256" s="17"/>
      <c r="Y256" s="40" t="str">
        <f t="array" ref="Y256:AMX256">IF('STANDAR RESEP'!A278="", "", TRANSPOSE(INDIRECT(SUBSTITUTE(SUBSTITUTE(SUBSTITUTE('STANDAR RESEP'!A278, " ", "_"), "(", ""), ")", ""))))</f>
        <v>Beef Slice Barbeque</v>
      </c>
      <c r="Z256" s="17" t="s">
        <v>47</v>
      </c>
      <c r="AA256" s="17" t="s">
        <v>48</v>
      </c>
      <c r="AB256" s="17" t="s">
        <v>49</v>
      </c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39"/>
      <c r="X257" s="17"/>
      <c r="Y257" s="40" t="str">
        <f t="array" ref="Y257:AMX257">IF('STANDAR RESEP'!A279="", "", TRANSPOSE(INDIRECT(SUBSTITUTE(SUBSTITUTE(SUBSTITUTE('STANDAR RESEP'!A279, " ", "_"), "(", ""), ")", ""))))</f>
        <v>Beef Slice Barbeque</v>
      </c>
      <c r="Z257" s="17" t="s">
        <v>47</v>
      </c>
      <c r="AA257" s="17" t="s">
        <v>48</v>
      </c>
      <c r="AB257" s="17" t="s">
        <v>49</v>
      </c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39"/>
      <c r="X258" s="17"/>
      <c r="Y258" s="40" t="str">
        <f t="array" ref="Y258:AMX258">IF('STANDAR RESEP'!A280="", "", TRANSPOSE(INDIRECT(SUBSTITUTE(SUBSTITUTE(SUBSTITUTE('STANDAR RESEP'!A280, " ", "_"), "(", ""), ")", ""))))</f>
        <v>Beef Slice Barbeque</v>
      </c>
      <c r="Z258" s="17" t="s">
        <v>47</v>
      </c>
      <c r="AA258" s="17" t="s">
        <v>48</v>
      </c>
      <c r="AB258" s="17" t="s">
        <v>49</v>
      </c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39"/>
      <c r="X259" s="17"/>
      <c r="Y259" s="40" t="str">
        <f t="array" ref="Y259:AMX259">IF('STANDAR RESEP'!A281="", "", TRANSPOSE(INDIRECT(SUBSTITUTE(SUBSTITUTE(SUBSTITUTE('STANDAR RESEP'!A281, " ", "_"), "(", ""), ")", ""))))</f>
        <v>Beef Slice Barbeque</v>
      </c>
      <c r="Z259" s="17" t="s">
        <v>47</v>
      </c>
      <c r="AA259" s="17" t="s">
        <v>48</v>
      </c>
      <c r="AB259" s="17" t="s">
        <v>49</v>
      </c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39"/>
      <c r="X260" s="17"/>
      <c r="Y260" s="40" t="str">
        <f t="array" ref="Y260:AMX260">IF('STANDAR RESEP'!A282="", "", TRANSPOSE(INDIRECT(SUBSTITUTE(SUBSTITUTE(SUBSTITUTE('STANDAR RESEP'!A282, " ", "_"), "(", ""), ")", ""))))</f>
        <v>Beef Slice Barbeque</v>
      </c>
      <c r="Z260" s="17" t="s">
        <v>47</v>
      </c>
      <c r="AA260" s="17" t="s">
        <v>48</v>
      </c>
      <c r="AB260" s="17" t="s">
        <v>49</v>
      </c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39"/>
      <c r="X261" s="17"/>
      <c r="Y261" s="40" t="str">
        <f t="array" ref="Y261:AMX261">IF('STANDAR RESEP'!A283="", "", TRANSPOSE(INDIRECT(SUBSTITUTE(SUBSTITUTE(SUBSTITUTE('STANDAR RESEP'!A283, " ", "_"), "(", ""), ")", ""))))</f>
        <v>Beef Slice Barbeque</v>
      </c>
      <c r="Z261" s="17" t="s">
        <v>47</v>
      </c>
      <c r="AA261" s="17" t="s">
        <v>48</v>
      </c>
      <c r="AB261" s="17" t="s">
        <v>49</v>
      </c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39"/>
      <c r="X262" s="17"/>
      <c r="Y262" s="40" t="str">
        <f t="array" ref="Y262:AMX262">IF('STANDAR RESEP'!A285="", "", TRANSPOSE(INDIRECT(SUBSTITUTE(SUBSTITUTE(SUBSTITUTE('STANDAR RESEP'!A285, " ", "_"), "(", ""), ")", ""))))</f>
        <v>Beef Slice Barbeque</v>
      </c>
      <c r="Z262" s="17" t="s">
        <v>47</v>
      </c>
      <c r="AA262" s="17" t="s">
        <v>48</v>
      </c>
      <c r="AB262" s="17" t="s">
        <v>49</v>
      </c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39"/>
      <c r="X263" s="17"/>
      <c r="Y263" s="40" t="str">
        <f t="array" ref="Y263:AMX263">IF('STANDAR RESEP'!A286="", "", TRANSPOSE(INDIRECT(SUBSTITUTE(SUBSTITUTE(SUBSTITUTE('STANDAR RESEP'!A286, " ", "_"), "(", ""), ")", ""))))</f>
        <v>Beef Slice Barbeque</v>
      </c>
      <c r="Z263" s="17" t="s">
        <v>47</v>
      </c>
      <c r="AA263" s="17" t="s">
        <v>48</v>
      </c>
      <c r="AB263" s="17" t="s">
        <v>49</v>
      </c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39"/>
      <c r="X264" s="17"/>
      <c r="Y264" s="40" t="str">
        <f t="array" ref="Y264:AMX264">IF('STANDAR RESEP'!A287="", "", TRANSPOSE(INDIRECT(SUBSTITUTE(SUBSTITUTE(SUBSTITUTE('STANDAR RESEP'!A287, " ", "_"), "(", ""), ")", ""))))</f>
        <v>Beef Slice Barbeque</v>
      </c>
      <c r="Z264" s="17" t="s">
        <v>47</v>
      </c>
      <c r="AA264" s="17" t="s">
        <v>48</v>
      </c>
      <c r="AB264" s="17" t="s">
        <v>49</v>
      </c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39"/>
      <c r="X265" s="17"/>
      <c r="Y265" s="40" t="str">
        <f t="array" ref="Y265:AMX265">IF('STANDAR RESEP'!A288="", "", TRANSPOSE(INDIRECT(SUBSTITUTE(SUBSTITUTE(SUBSTITUTE('STANDAR RESEP'!A288, " ", "_"), "(", ""), ")", ""))))</f>
        <v>Beef Slice Barbeque</v>
      </c>
      <c r="Z265" s="17" t="s">
        <v>47</v>
      </c>
      <c r="AA265" s="17" t="s">
        <v>48</v>
      </c>
      <c r="AB265" s="17" t="s">
        <v>49</v>
      </c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39"/>
      <c r="X266" s="17"/>
      <c r="Y266" s="40" t="str">
        <f t="array" ref="Y266:AMX266">IF('STANDAR RESEP'!A289="", "", TRANSPOSE(INDIRECT(SUBSTITUTE(SUBSTITUTE(SUBSTITUTE('STANDAR RESEP'!A289, " ", "_"), "(", ""), ")", ""))))</f>
        <v>Beef Slice Barbeque</v>
      </c>
      <c r="Z266" s="17" t="s">
        <v>47</v>
      </c>
      <c r="AA266" s="17" t="s">
        <v>48</v>
      </c>
      <c r="AB266" s="17" t="s">
        <v>49</v>
      </c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39"/>
      <c r="X267" s="17"/>
      <c r="Y267" s="40" t="str">
        <f t="array" ref="Y267:AMX267">IF('STANDAR RESEP'!A290="", "", TRANSPOSE(INDIRECT(SUBSTITUTE(SUBSTITUTE(SUBSTITUTE('STANDAR RESEP'!A290, " ", "_"), "(", ""), ")", ""))))</f>
        <v>Beef Slice Barbeque</v>
      </c>
      <c r="Z267" s="17" t="s">
        <v>47</v>
      </c>
      <c r="AA267" s="17" t="s">
        <v>48</v>
      </c>
      <c r="AB267" s="17" t="s">
        <v>49</v>
      </c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39"/>
      <c r="X268" s="17"/>
      <c r="Y268" s="40" t="str">
        <f t="array" ref="Y268:AMX268">IF('STANDAR RESEP'!A291="", "", TRANSPOSE(INDIRECT(SUBSTITUTE(SUBSTITUTE(SUBSTITUTE('STANDAR RESEP'!A291, " ", "_"), "(", ""), ")", ""))))</f>
        <v>Beef Slice Barbeque</v>
      </c>
      <c r="Z268" s="17" t="s">
        <v>47</v>
      </c>
      <c r="AA268" s="17" t="s">
        <v>48</v>
      </c>
      <c r="AB268" s="17" t="s">
        <v>49</v>
      </c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39"/>
      <c r="X269" s="17"/>
      <c r="Y269" s="40" t="str">
        <f t="array" ref="Y269:AMX269">IF('STANDAR RESEP'!A292="", "", TRANSPOSE(INDIRECT(SUBSTITUTE(SUBSTITUTE(SUBSTITUTE('STANDAR RESEP'!A292, " ", "_"), "(", ""), ")", ""))))</f>
        <v>Beef Slice Barbeque</v>
      </c>
      <c r="Z269" s="17" t="s">
        <v>47</v>
      </c>
      <c r="AA269" s="17" t="s">
        <v>48</v>
      </c>
      <c r="AB269" s="17" t="s">
        <v>49</v>
      </c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39"/>
      <c r="X270" s="17"/>
      <c r="Y270" s="40" t="str">
        <f t="array" ref="Y270:AMX270">IF('STANDAR RESEP'!A293="", "", TRANSPOSE(INDIRECT(SUBSTITUTE(SUBSTITUTE(SUBSTITUTE('STANDAR RESEP'!A293, " ", "_"), "(", ""), ")", ""))))</f>
        <v>Beef Slice Barbeque</v>
      </c>
      <c r="Z270" s="17" t="s">
        <v>47</v>
      </c>
      <c r="AA270" s="17" t="s">
        <v>48</v>
      </c>
      <c r="AB270" s="17" t="s">
        <v>49</v>
      </c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39"/>
      <c r="X271" s="17"/>
      <c r="Y271" s="40" t="str">
        <f t="array" ref="Y271:AMX271">IF('STANDAR RESEP'!A294="", "", TRANSPOSE(INDIRECT(SUBSTITUTE(SUBSTITUTE(SUBSTITUTE('STANDAR RESEP'!A294, " ", "_"), "(", ""), ")", ""))))</f>
        <v>Beef Slice Barbeque</v>
      </c>
      <c r="Z271" s="17" t="s">
        <v>47</v>
      </c>
      <c r="AA271" s="17" t="s">
        <v>48</v>
      </c>
      <c r="AB271" s="17" t="s">
        <v>49</v>
      </c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39"/>
      <c r="X272" s="17"/>
      <c r="Y272" s="40" t="str">
        <f t="array" ref="Y272:AMX272">IF('STANDAR RESEP'!A295="", "", TRANSPOSE(INDIRECT(SUBSTITUTE(SUBSTITUTE(SUBSTITUTE('STANDAR RESEP'!A295, " ", "_"), "(", ""), ")", ""))))</f>
        <v>Beef Slice Barbeque</v>
      </c>
      <c r="Z272" s="17" t="s">
        <v>47</v>
      </c>
      <c r="AA272" s="17" t="s">
        <v>48</v>
      </c>
      <c r="AB272" s="17" t="s">
        <v>49</v>
      </c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39"/>
      <c r="X273" s="17"/>
      <c r="Y273" s="40" t="str">
        <f t="array" ref="Y273:AMX273">IF('STANDAR RESEP'!A296="", "", TRANSPOSE(INDIRECT(SUBSTITUTE(SUBSTITUTE(SUBSTITUTE('STANDAR RESEP'!A296, " ", "_"), "(", ""), ")", ""))))</f>
        <v>Beef Slice Barbeque</v>
      </c>
      <c r="Z273" s="17" t="s">
        <v>47</v>
      </c>
      <c r="AA273" s="17" t="s">
        <v>48</v>
      </c>
      <c r="AB273" s="17" t="s">
        <v>49</v>
      </c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39"/>
      <c r="X274" s="17"/>
      <c r="Y274" s="40" t="str">
        <f t="array" ref="Y274:AMX274">IF('STANDAR RESEP'!A298="", "", TRANSPOSE(INDIRECT(SUBSTITUTE(SUBSTITUTE(SUBSTITUTE('STANDAR RESEP'!A298, " ", "_"), "(", ""), ")", ""))))</f>
        <v>Beef Slice Barbeque</v>
      </c>
      <c r="Z274" s="17" t="s">
        <v>47</v>
      </c>
      <c r="AA274" s="17" t="s">
        <v>48</v>
      </c>
      <c r="AB274" s="17" t="s">
        <v>49</v>
      </c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39"/>
      <c r="X275" s="17"/>
      <c r="Y275" s="40" t="str">
        <f t="array" ref="Y275:AMX275">IF('STANDAR RESEP'!A299="", "", TRANSPOSE(INDIRECT(SUBSTITUTE(SUBSTITUTE(SUBSTITUTE('STANDAR RESEP'!A299, " ", "_"), "(", ""), ")", ""))))</f>
        <v>Beef Slice Barbeque</v>
      </c>
      <c r="Z275" s="17" t="s">
        <v>47</v>
      </c>
      <c r="AA275" s="17" t="s">
        <v>48</v>
      </c>
      <c r="AB275" s="17" t="s">
        <v>49</v>
      </c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39"/>
      <c r="X276" s="17"/>
      <c r="Y276" s="40" t="str">
        <f t="array" ref="Y276:AMX276">IF('STANDAR RESEP'!A300="", "", TRANSPOSE(INDIRECT(SUBSTITUTE(SUBSTITUTE(SUBSTITUTE('STANDAR RESEP'!A300, " ", "_"), "(", ""), ")", ""))))</f>
        <v>Beef Slice Barbeque</v>
      </c>
      <c r="Z276" s="17" t="s">
        <v>47</v>
      </c>
      <c r="AA276" s="17" t="s">
        <v>48</v>
      </c>
      <c r="AB276" s="17" t="s">
        <v>49</v>
      </c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39"/>
      <c r="X277" s="17"/>
      <c r="Y277" s="40" t="str">
        <f t="array" ref="Y277:AMX277">IF('STANDAR RESEP'!A301="", "", TRANSPOSE(INDIRECT(SUBSTITUTE(SUBSTITUTE(SUBSTITUTE('STANDAR RESEP'!A301, " ", "_"), "(", ""), ")", ""))))</f>
        <v>Beef Slice Barbeque</v>
      </c>
      <c r="Z277" s="17" t="s">
        <v>47</v>
      </c>
      <c r="AA277" s="17" t="s">
        <v>48</v>
      </c>
      <c r="AB277" s="17" t="s">
        <v>49</v>
      </c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39"/>
      <c r="X278" s="17"/>
      <c r="Y278" s="40" t="str">
        <f t="array" ref="Y278:AMX278">IF('STANDAR RESEP'!A302="", "", TRANSPOSE(INDIRECT(SUBSTITUTE(SUBSTITUTE(SUBSTITUTE('STANDAR RESEP'!A302, " ", "_"), "(", ""), ")", ""))))</f>
        <v>Beef Slice Barbeque</v>
      </c>
      <c r="Z278" s="17" t="s">
        <v>47</v>
      </c>
      <c r="AA278" s="17" t="s">
        <v>48</v>
      </c>
      <c r="AB278" s="17" t="s">
        <v>49</v>
      </c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39"/>
      <c r="X279" s="17"/>
      <c r="Y279" s="40" t="str">
        <f t="array" ref="Y279:AMX279">IF('STANDAR RESEP'!A303="", "", TRANSPOSE(INDIRECT(SUBSTITUTE(SUBSTITUTE(SUBSTITUTE('STANDAR RESEP'!A303, " ", "_"), "(", ""), ")", ""))))</f>
        <v>Beef Slice Barbeque</v>
      </c>
      <c r="Z279" s="17" t="s">
        <v>47</v>
      </c>
      <c r="AA279" s="17" t="s">
        <v>48</v>
      </c>
      <c r="AB279" s="17" t="s">
        <v>49</v>
      </c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39"/>
      <c r="X280" s="17"/>
      <c r="Y280" s="40" t="str">
        <f t="array" ref="Y280:AMX280">IF('STANDAR RESEP'!A304="", "", TRANSPOSE(INDIRECT(SUBSTITUTE(SUBSTITUTE(SUBSTITUTE('STANDAR RESEP'!A304, " ", "_"), "(", ""), ")", ""))))</f>
        <v>Beef Slice Barbeque</v>
      </c>
      <c r="Z280" s="17" t="s">
        <v>47</v>
      </c>
      <c r="AA280" s="17" t="s">
        <v>48</v>
      </c>
      <c r="AB280" s="17" t="s">
        <v>49</v>
      </c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39"/>
      <c r="X281" s="17"/>
      <c r="Y281" s="40" t="str">
        <f t="array" ref="Y281:AMX281">IF('STANDAR RESEP'!A305="", "", TRANSPOSE(INDIRECT(SUBSTITUTE(SUBSTITUTE(SUBSTITUTE('STANDAR RESEP'!A305, " ", "_"), "(", ""), ")", ""))))</f>
        <v>Beef Slice Barbeque</v>
      </c>
      <c r="Z281" s="17" t="s">
        <v>47</v>
      </c>
      <c r="AA281" s="17" t="s">
        <v>48</v>
      </c>
      <c r="AB281" s="17" t="s">
        <v>49</v>
      </c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39"/>
      <c r="X282" s="17"/>
      <c r="Y282" s="40" t="str">
        <f t="array" ref="Y282:AMX282">IF('STANDAR RESEP'!A306="", "", TRANSPOSE(INDIRECT(SUBSTITUTE(SUBSTITUTE(SUBSTITUTE('STANDAR RESEP'!A306, " ", "_"), "(", ""), ")", ""))))</f>
        <v>Lele Fillet Crispy</v>
      </c>
      <c r="Z282" s="17" t="s">
        <v>51</v>
      </c>
      <c r="AA282" s="17" t="s">
        <v>53</v>
      </c>
      <c r="AB282" s="17" t="s">
        <v>55</v>
      </c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39"/>
      <c r="X283" s="17"/>
      <c r="Y283" s="40" t="str">
        <f t="array" ref="Y283:AMX283">IF('STANDAR RESEP'!A307="", "", TRANSPOSE(INDIRECT(SUBSTITUTE(SUBSTITUTE(SUBSTITUTE('STANDAR RESEP'!A307, " ", "_"), "(", ""), ")", ""))))</f>
        <v>Lele Fillet Crispy</v>
      </c>
      <c r="Z283" s="17" t="s">
        <v>51</v>
      </c>
      <c r="AA283" s="17" t="s">
        <v>53</v>
      </c>
      <c r="AB283" s="17" t="s">
        <v>55</v>
      </c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39"/>
      <c r="X284" s="17"/>
      <c r="Y284" s="40" t="str">
        <f t="array" ref="Y284:AMX284">IF('STANDAR RESEP'!A308="", "", TRANSPOSE(INDIRECT(SUBSTITUTE(SUBSTITUTE(SUBSTITUTE('STANDAR RESEP'!A308, " ", "_"), "(", ""), ")", ""))))</f>
        <v>Lele Fillet Crispy</v>
      </c>
      <c r="Z284" s="17" t="s">
        <v>51</v>
      </c>
      <c r="AA284" s="17" t="s">
        <v>53</v>
      </c>
      <c r="AB284" s="17" t="s">
        <v>55</v>
      </c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39"/>
      <c r="X285" s="17"/>
      <c r="Y285" s="40" t="str">
        <f t="array" ref="Y285:AMX285">IF('STANDAR RESEP'!A309="", "", TRANSPOSE(INDIRECT(SUBSTITUTE(SUBSTITUTE(SUBSTITUTE('STANDAR RESEP'!A309, " ", "_"), "(", ""), ")", ""))))</f>
        <v>Lele Fillet Crispy</v>
      </c>
      <c r="Z285" s="17" t="s">
        <v>51</v>
      </c>
      <c r="AA285" s="17" t="s">
        <v>53</v>
      </c>
      <c r="AB285" s="17" t="s">
        <v>55</v>
      </c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39"/>
      <c r="X286" s="17"/>
      <c r="Y286" s="40" t="str">
        <f t="array" ref="Y286:AMX286">IF('STANDAR RESEP'!A310="", "", TRANSPOSE(INDIRECT(SUBSTITUTE(SUBSTITUTE(SUBSTITUTE('STANDAR RESEP'!A310, " ", "_"), "(", ""), ")", ""))))</f>
        <v>Lele Fillet Crispy</v>
      </c>
      <c r="Z286" s="17" t="s">
        <v>51</v>
      </c>
      <c r="AA286" s="17" t="s">
        <v>53</v>
      </c>
      <c r="AB286" s="17" t="s">
        <v>55</v>
      </c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39"/>
      <c r="X287" s="17"/>
      <c r="Y287" s="40" t="str">
        <f t="array" ref="Y287:AMX287">IF('STANDAR RESEP'!A311="", "", TRANSPOSE(INDIRECT(SUBSTITUTE(SUBSTITUTE(SUBSTITUTE('STANDAR RESEP'!A311, " ", "_"), "(", ""), ")", ""))))</f>
        <v>Lele Fillet Crispy</v>
      </c>
      <c r="Z287" s="17" t="s">
        <v>51</v>
      </c>
      <c r="AA287" s="17" t="s">
        <v>53</v>
      </c>
      <c r="AB287" s="17" t="s">
        <v>55</v>
      </c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39"/>
      <c r="X288" s="17"/>
      <c r="Y288" s="40" t="str">
        <f t="array" ref="Y288:AMX288">IF('STANDAR RESEP'!A312="", "", TRANSPOSE(INDIRECT(SUBSTITUTE(SUBSTITUTE(SUBSTITUTE('STANDAR RESEP'!A312, " ", "_"), "(", ""), ")", ""))))</f>
        <v>Lele Fillet Crispy</v>
      </c>
      <c r="Z288" s="17" t="s">
        <v>51</v>
      </c>
      <c r="AA288" s="17" t="s">
        <v>53</v>
      </c>
      <c r="AB288" s="17" t="s">
        <v>55</v>
      </c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39"/>
      <c r="X289" s="17"/>
      <c r="Y289" s="40" t="str">
        <f t="array" ref="Y289:AMX289">IF('STANDAR RESEP'!A313="", "", TRANSPOSE(INDIRECT(SUBSTITUTE(SUBSTITUTE(SUBSTITUTE('STANDAR RESEP'!A313, " ", "_"), "(", ""), ")", ""))))</f>
        <v>Lele Fillet Crispy</v>
      </c>
      <c r="Z289" s="17" t="s">
        <v>51</v>
      </c>
      <c r="AA289" s="17" t="s">
        <v>53</v>
      </c>
      <c r="AB289" s="17" t="s">
        <v>55</v>
      </c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39"/>
      <c r="X290" s="17"/>
      <c r="Y290" s="40" t="str">
        <f t="array" ref="Y290:AMX290">IF('STANDAR RESEP'!A314="", "", TRANSPOSE(INDIRECT(SUBSTITUTE(SUBSTITUTE(SUBSTITUTE('STANDAR RESEP'!A314, " ", "_"), "(", ""), ")", ""))))</f>
        <v>Lele Fillet Crispy</v>
      </c>
      <c r="Z290" s="17" t="s">
        <v>51</v>
      </c>
      <c r="AA290" s="17" t="s">
        <v>53</v>
      </c>
      <c r="AB290" s="17" t="s">
        <v>55</v>
      </c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39"/>
      <c r="X291" s="17"/>
      <c r="Y291" s="40" t="str">
        <f t="array" ref="Y291:AMX291">IF('STANDAR RESEP'!A315="", "", TRANSPOSE(INDIRECT(SUBSTITUTE(SUBSTITUTE(SUBSTITUTE('STANDAR RESEP'!A315, " ", "_"), "(", ""), ")", ""))))</f>
        <v>Lele Fillet Crispy</v>
      </c>
      <c r="Z291" s="17" t="s">
        <v>51</v>
      </c>
      <c r="AA291" s="17" t="s">
        <v>53</v>
      </c>
      <c r="AB291" s="17" t="s">
        <v>55</v>
      </c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39"/>
      <c r="X292" s="17"/>
      <c r="Y292" s="40" t="str">
        <f t="array" ref="Y292:AMX292">IF('STANDAR RESEP'!A316="", "", TRANSPOSE(INDIRECT(SUBSTITUTE(SUBSTITUTE(SUBSTITUTE('STANDAR RESEP'!A316, " ", "_"), "(", ""), ")", ""))))</f>
        <v>Lele Fillet Crispy</v>
      </c>
      <c r="Z292" s="17" t="s">
        <v>51</v>
      </c>
      <c r="AA292" s="17" t="s">
        <v>53</v>
      </c>
      <c r="AB292" s="17" t="s">
        <v>55</v>
      </c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39"/>
      <c r="X293" s="17"/>
      <c r="Y293" s="40" t="str">
        <f t="array" ref="Y293:AMX293">IF('STANDAR RESEP'!A317="", "", TRANSPOSE(INDIRECT(SUBSTITUTE(SUBSTITUTE(SUBSTITUTE('STANDAR RESEP'!A317, " ", "_"), "(", ""), ")", ""))))</f>
        <v>Lele Fillet Crispy</v>
      </c>
      <c r="Z293" s="17" t="s">
        <v>51</v>
      </c>
      <c r="AA293" s="17" t="s">
        <v>53</v>
      </c>
      <c r="AB293" s="17" t="s">
        <v>55</v>
      </c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39"/>
      <c r="X294" s="17"/>
      <c r="Y294" s="40" t="str">
        <f t="array" ref="Y294:AMX294">IF('STANDAR RESEP'!A318="", "", TRANSPOSE(INDIRECT(SUBSTITUTE(SUBSTITUTE(SUBSTITUTE('STANDAR RESEP'!A318, " ", "_"), "(", ""), ")", ""))))</f>
        <v>Lele Fillet Crispy</v>
      </c>
      <c r="Z294" s="17" t="s">
        <v>51</v>
      </c>
      <c r="AA294" s="17" t="s">
        <v>53</v>
      </c>
      <c r="AB294" s="17" t="s">
        <v>55</v>
      </c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39"/>
      <c r="X295" s="17"/>
      <c r="Y295" s="40" t="str">
        <f t="array" ref="Y295:AMX295">IF('STANDAR RESEP'!A319="", "", TRANSPOSE(INDIRECT(SUBSTITUTE(SUBSTITUTE(SUBSTITUTE('STANDAR RESEP'!A319, " ", "_"), "(", ""), ")", ""))))</f>
        <v>Lele Fillet Crispy</v>
      </c>
      <c r="Z295" s="17" t="s">
        <v>51</v>
      </c>
      <c r="AA295" s="17" t="s">
        <v>53</v>
      </c>
      <c r="AB295" s="17" t="s">
        <v>55</v>
      </c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39"/>
      <c r="X296" s="17"/>
      <c r="Y296" s="40" t="str">
        <f t="array" ref="Y296:AMX296">IF('STANDAR RESEP'!A320="", "", TRANSPOSE(INDIRECT(SUBSTITUTE(SUBSTITUTE(SUBSTITUTE('STANDAR RESEP'!A320, " ", "_"), "(", ""), ")", ""))))</f>
        <v>Lele Fillet Crispy</v>
      </c>
      <c r="Z296" s="17" t="s">
        <v>51</v>
      </c>
      <c r="AA296" s="17" t="s">
        <v>53</v>
      </c>
      <c r="AB296" s="17" t="s">
        <v>55</v>
      </c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39"/>
      <c r="X297" s="17"/>
      <c r="Y297" s="40" t="str">
        <f t="array" ref="Y297:AMX297">IF('STANDAR RESEP'!A321="", "", TRANSPOSE(INDIRECT(SUBSTITUTE(SUBSTITUTE(SUBSTITUTE('STANDAR RESEP'!A321, " ", "_"), "(", ""), ")", ""))))</f>
        <v>Lele Fillet Crispy</v>
      </c>
      <c r="Z297" s="17" t="s">
        <v>51</v>
      </c>
      <c r="AA297" s="17" t="s">
        <v>53</v>
      </c>
      <c r="AB297" s="17" t="s">
        <v>55</v>
      </c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39"/>
      <c r="X298" s="17"/>
      <c r="Y298" s="40" t="str">
        <f t="array" ref="Y298:AMX298">IF('STANDAR RESEP'!A322="", "", TRANSPOSE(INDIRECT(SUBSTITUTE(SUBSTITUTE(SUBSTITUTE('STANDAR RESEP'!A322, " ", "_"), "(", ""), ")", ""))))</f>
        <v>Lele Fillet Crispy</v>
      </c>
      <c r="Z298" s="17" t="s">
        <v>51</v>
      </c>
      <c r="AA298" s="17" t="s">
        <v>53</v>
      </c>
      <c r="AB298" s="17" t="s">
        <v>55</v>
      </c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39"/>
      <c r="X299" s="17"/>
      <c r="Y299" s="40" t="str">
        <f t="array" ref="Y299:AMX299">IF('STANDAR RESEP'!A323="", "", TRANSPOSE(INDIRECT(SUBSTITUTE(SUBSTITUTE(SUBSTITUTE('STANDAR RESEP'!A323, " ", "_"), "(", ""), ")", ""))))</f>
        <v>Lele Fillet Crispy</v>
      </c>
      <c r="Z299" s="17" t="s">
        <v>51</v>
      </c>
      <c r="AA299" s="17" t="s">
        <v>53</v>
      </c>
      <c r="AB299" s="17" t="s">
        <v>55</v>
      </c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39"/>
      <c r="X300" s="17"/>
      <c r="Y300" s="40" t="str">
        <f t="array" ref="Y300:AMX300">IF('STANDAR RESEP'!A324="", "", TRANSPOSE(INDIRECT(SUBSTITUTE(SUBSTITUTE(SUBSTITUTE('STANDAR RESEP'!A324, " ", "_"), "(", ""), ")", ""))))</f>
        <v>Lele Fillet Crispy</v>
      </c>
      <c r="Z300" s="17" t="s">
        <v>51</v>
      </c>
      <c r="AA300" s="17" t="s">
        <v>53</v>
      </c>
      <c r="AB300" s="17" t="s">
        <v>55</v>
      </c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39"/>
      <c r="X301" s="17"/>
      <c r="Y301" s="40" t="str">
        <f t="array" ref="Y301:AMX301">IF('STANDAR RESEP'!A325="", "", TRANSPOSE(INDIRECT(SUBSTITUTE(SUBSTITUTE(SUBSTITUTE('STANDAR RESEP'!A325, " ", "_"), "(", ""), ")", ""))))</f>
        <v>Lele Fillet Crispy</v>
      </c>
      <c r="Z301" s="17" t="s">
        <v>51</v>
      </c>
      <c r="AA301" s="17" t="s">
        <v>53</v>
      </c>
      <c r="AB301" s="17" t="s">
        <v>55</v>
      </c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39"/>
      <c r="X302" s="17"/>
      <c r="Y302" s="40" t="str">
        <f t="array" ref="Y302:AMX302">IF('STANDAR RESEP'!A326="", "", TRANSPOSE(INDIRECT(SUBSTITUTE(SUBSTITUTE(SUBSTITUTE('STANDAR RESEP'!A326, " ", "_"), "(", ""), ")", ""))))</f>
        <v>Lele Fillet Crispy</v>
      </c>
      <c r="Z302" s="17" t="s">
        <v>51</v>
      </c>
      <c r="AA302" s="17" t="s">
        <v>53</v>
      </c>
      <c r="AB302" s="17" t="s">
        <v>55</v>
      </c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39"/>
      <c r="X303" s="17"/>
      <c r="Y303" s="40" t="str">
        <f t="array" ref="Y303:AMX303">IF('STANDAR RESEP'!A327="", "", TRANSPOSE(INDIRECT(SUBSTITUTE(SUBSTITUTE(SUBSTITUTE('STANDAR RESEP'!A327, " ", "_"), "(", ""), ")", ""))))</f>
        <v>Lele Fillet Crispy</v>
      </c>
      <c r="Z303" s="17" t="s">
        <v>51</v>
      </c>
      <c r="AA303" s="17" t="s">
        <v>53</v>
      </c>
      <c r="AB303" s="17" t="s">
        <v>55</v>
      </c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39"/>
      <c r="X304" s="17"/>
      <c r="Y304" s="40" t="str">
        <f t="array" ref="Y304:AMX304">IF('STANDAR RESEP'!A328="", "", TRANSPOSE(INDIRECT(SUBSTITUTE(SUBSTITUTE(SUBSTITUTE('STANDAR RESEP'!A328, " ", "_"), "(", ""), ")", ""))))</f>
        <v>Lele Fillet Crispy</v>
      </c>
      <c r="Z304" s="17" t="s">
        <v>51</v>
      </c>
      <c r="AA304" s="17" t="s">
        <v>53</v>
      </c>
      <c r="AB304" s="17" t="s">
        <v>55</v>
      </c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39"/>
      <c r="X305" s="17"/>
      <c r="Y305" s="40" t="str">
        <f t="array" ref="Y305:AMX305">IF('STANDAR RESEP'!A329="", "", TRANSPOSE(INDIRECT(SUBSTITUTE(SUBSTITUTE(SUBSTITUTE('STANDAR RESEP'!A329, " ", "_"), "(", ""), ")", ""))))</f>
        <v>Lele Fillet Crispy</v>
      </c>
      <c r="Z305" s="17" t="s">
        <v>51</v>
      </c>
      <c r="AA305" s="17" t="s">
        <v>53</v>
      </c>
      <c r="AB305" s="17" t="s">
        <v>55</v>
      </c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39"/>
      <c r="X306" s="17"/>
      <c r="Y306" s="40" t="str">
        <f t="array" ref="Y306:AMX306">IF('STANDAR RESEP'!A330="", "", TRANSPOSE(INDIRECT(SUBSTITUTE(SUBSTITUTE(SUBSTITUTE('STANDAR RESEP'!A330, " ", "_"), "(", ""), ")", ""))))</f>
        <v>Lele Fillet Crispy</v>
      </c>
      <c r="Z306" s="17" t="s">
        <v>51</v>
      </c>
      <c r="AA306" s="17" t="s">
        <v>53</v>
      </c>
      <c r="AB306" s="17" t="s">
        <v>55</v>
      </c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39"/>
      <c r="X307" s="17"/>
      <c r="Y307" s="40" t="str">
        <f t="array" ref="Y307:AMX307">IF('STANDAR RESEP'!A331="", "", TRANSPOSE(INDIRECT(SUBSTITUTE(SUBSTITUTE(SUBSTITUTE('STANDAR RESEP'!A331, " ", "_"), "(", ""), ")", ""))))</f>
        <v>Lele Fillet Crispy</v>
      </c>
      <c r="Z307" s="17" t="s">
        <v>51</v>
      </c>
      <c r="AA307" s="17" t="s">
        <v>53</v>
      </c>
      <c r="AB307" s="17" t="s">
        <v>55</v>
      </c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39"/>
      <c r="X308" s="17"/>
      <c r="Y308" s="40" t="str">
        <f t="array" ref="Y308:AMX308">IF('STANDAR RESEP'!A332="", "", TRANSPOSE(INDIRECT(SUBSTITUTE(SUBSTITUTE(SUBSTITUTE('STANDAR RESEP'!A332, " ", "_"), "(", ""), ")", ""))))</f>
        <v>Lele Fillet Crispy</v>
      </c>
      <c r="Z308" s="17" t="s">
        <v>51</v>
      </c>
      <c r="AA308" s="17" t="s">
        <v>53</v>
      </c>
      <c r="AB308" s="17" t="s">
        <v>55</v>
      </c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39"/>
      <c r="X309" s="17"/>
      <c r="Y309" s="40" t="str">
        <f t="array" ref="Y309:AMX309">IF('STANDAR RESEP'!A333="", "", TRANSPOSE(INDIRECT(SUBSTITUTE(SUBSTITUTE(SUBSTITUTE('STANDAR RESEP'!A333, " ", "_"), "(", ""), ")", ""))))</f>
        <v>Lele Fillet Crispy</v>
      </c>
      <c r="Z309" s="17" t="s">
        <v>51</v>
      </c>
      <c r="AA309" s="17" t="s">
        <v>53</v>
      </c>
      <c r="AB309" s="17" t="s">
        <v>55</v>
      </c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39"/>
      <c r="X310" s="17"/>
      <c r="Y310" s="40" t="str">
        <f t="array" ref="Y310:AMX310">IF('STANDAR RESEP'!A334="", "", TRANSPOSE(INDIRECT(SUBSTITUTE(SUBSTITUTE(SUBSTITUTE('STANDAR RESEP'!A334, " ", "_"), "(", ""), ")", ""))))</f>
        <v>Lele Fillet Crispy</v>
      </c>
      <c r="Z310" s="17" t="s">
        <v>51</v>
      </c>
      <c r="AA310" s="17" t="s">
        <v>53</v>
      </c>
      <c r="AB310" s="17" t="s">
        <v>55</v>
      </c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39"/>
      <c r="X311" s="17"/>
      <c r="Y311" s="40" t="str">
        <f t="array" ref="Y311:AMX311">IF('STANDAR RESEP'!A335="", "", TRANSPOSE(INDIRECT(SUBSTITUTE(SUBSTITUTE(SUBSTITUTE('STANDAR RESEP'!A335, " ", "_"), "(", ""), ")", ""))))</f>
        <v>Lele Fillet Crispy</v>
      </c>
      <c r="Z311" s="17" t="s">
        <v>51</v>
      </c>
      <c r="AA311" s="17" t="s">
        <v>53</v>
      </c>
      <c r="AB311" s="17" t="s">
        <v>55</v>
      </c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39"/>
      <c r="X312" s="17"/>
      <c r="Y312" s="40" t="str">
        <f t="array" ref="Y312:AMX312">IF('STANDAR RESEP'!A336="", "", TRANSPOSE(INDIRECT(SUBSTITUTE(SUBSTITUTE(SUBSTITUTE('STANDAR RESEP'!A336, " ", "_"), "(", ""), ")", ""))))</f>
        <v>Lele Fillet Crispy</v>
      </c>
      <c r="Z312" s="17" t="s">
        <v>51</v>
      </c>
      <c r="AA312" s="17" t="s">
        <v>53</v>
      </c>
      <c r="AB312" s="17" t="s">
        <v>55</v>
      </c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39"/>
      <c r="X313" s="17"/>
      <c r="Y313" s="40" t="str">
        <f t="array" ref="Y313:AMX313">IF('STANDAR RESEP'!A337="", "", TRANSPOSE(INDIRECT(SUBSTITUTE(SUBSTITUTE(SUBSTITUTE('STANDAR RESEP'!A337, " ", "_"), "(", ""), ")", ""))))</f>
        <v>Lele Fillet Crispy</v>
      </c>
      <c r="Z313" s="17" t="s">
        <v>51</v>
      </c>
      <c r="AA313" s="17" t="s">
        <v>53</v>
      </c>
      <c r="AB313" s="17" t="s">
        <v>55</v>
      </c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39"/>
      <c r="X314" s="17"/>
      <c r="Y314" s="40" t="str">
        <f t="array" ref="Y314:AMX314">IF('STANDAR RESEP'!A338="", "", TRANSPOSE(INDIRECT(SUBSTITUTE(SUBSTITUTE(SUBSTITUTE('STANDAR RESEP'!A338, " ", "_"), "(", ""), ")", ""))))</f>
        <v>Lele Fillet Crispy</v>
      </c>
      <c r="Z314" s="17" t="s">
        <v>51</v>
      </c>
      <c r="AA314" s="17" t="s">
        <v>53</v>
      </c>
      <c r="AB314" s="17" t="s">
        <v>55</v>
      </c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39"/>
      <c r="X315" s="17"/>
      <c r="Y315" s="40" t="str">
        <f t="array" ref="Y315:AMX315">IF('STANDAR RESEP'!A339="", "", TRANSPOSE(INDIRECT(SUBSTITUTE(SUBSTITUTE(SUBSTITUTE('STANDAR RESEP'!A339, " ", "_"), "(", ""), ")", ""))))</f>
        <v>Lele Fillet Crispy</v>
      </c>
      <c r="Z315" s="17" t="s">
        <v>51</v>
      </c>
      <c r="AA315" s="17" t="s">
        <v>53</v>
      </c>
      <c r="AB315" s="17" t="s">
        <v>55</v>
      </c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39"/>
      <c r="X316" s="17"/>
      <c r="Y316" s="40" t="str">
        <f t="array" ref="Y316:AMX316">IF('STANDAR RESEP'!A340="", "", TRANSPOSE(INDIRECT(SUBSTITUTE(SUBSTITUTE(SUBSTITUTE('STANDAR RESEP'!A340, " ", "_"), "(", ""), ")", ""))))</f>
        <v>Lele Fillet Crispy</v>
      </c>
      <c r="Z316" s="17" t="s">
        <v>51</v>
      </c>
      <c r="AA316" s="17" t="s">
        <v>53</v>
      </c>
      <c r="AB316" s="17" t="s">
        <v>55</v>
      </c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39"/>
      <c r="X317" s="17"/>
      <c r="Y317" s="40" t="str">
        <f t="array" ref="Y317:AMX317">IF('STANDAR RESEP'!A341="", "", TRANSPOSE(INDIRECT(SUBSTITUTE(SUBSTITUTE(SUBSTITUTE('STANDAR RESEP'!A341, " ", "_"), "(", ""), ")", ""))))</f>
        <v>Lele Fillet Crispy</v>
      </c>
      <c r="Z317" s="17" t="s">
        <v>51</v>
      </c>
      <c r="AA317" s="17" t="s">
        <v>53</v>
      </c>
      <c r="AB317" s="17" t="s">
        <v>55</v>
      </c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39"/>
      <c r="X318" s="17"/>
      <c r="Y318" s="40" t="str">
        <f t="array" ref="Y318:AMX318">IF('STANDAR RESEP'!A342="", "", TRANSPOSE(INDIRECT(SUBSTITUTE(SUBSTITUTE(SUBSTITUTE('STANDAR RESEP'!A342, " ", "_"), "(", ""), ")", ""))))</f>
        <v>Lele Fillet Crispy</v>
      </c>
      <c r="Z318" s="17" t="s">
        <v>51</v>
      </c>
      <c r="AA318" s="17" t="s">
        <v>53</v>
      </c>
      <c r="AB318" s="17" t="s">
        <v>55</v>
      </c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39"/>
      <c r="X319" s="17"/>
      <c r="Y319" s="40" t="str">
        <f t="array" ref="Y319:AMX319">IF('STANDAR RESEP'!A343="", "", TRANSPOSE(INDIRECT(SUBSTITUTE(SUBSTITUTE(SUBSTITUTE('STANDAR RESEP'!A343, " ", "_"), "(", ""), ")", ""))))</f>
        <v>Lele Fillet Crispy</v>
      </c>
      <c r="Z319" s="17" t="s">
        <v>51</v>
      </c>
      <c r="AA319" s="17" t="s">
        <v>53</v>
      </c>
      <c r="AB319" s="17" t="s">
        <v>55</v>
      </c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39"/>
      <c r="X320" s="17"/>
      <c r="Y320" s="40" t="str">
        <f t="array" ref="Y320:AMX320">IF('STANDAR RESEP'!A344="", "", TRANSPOSE(INDIRECT(SUBSTITUTE(SUBSTITUTE(SUBSTITUTE('STANDAR RESEP'!A344, " ", "_"), "(", ""), ")", ""))))</f>
        <v>Tahu Fantasy</v>
      </c>
      <c r="Z320" s="17" t="s">
        <v>59</v>
      </c>
      <c r="AA320" s="17" t="s">
        <v>61</v>
      </c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39"/>
      <c r="X321" s="17"/>
      <c r="Y321" s="40" t="str">
        <f t="array" ref="Y321:AMX321">IF('STANDAR RESEP'!A345="", "", TRANSPOSE(INDIRECT(SUBSTITUTE(SUBSTITUTE(SUBSTITUTE('STANDAR RESEP'!A345, " ", "_"), "(", ""), ")", ""))))</f>
        <v>Tahu Fantasy</v>
      </c>
      <c r="Z321" s="17" t="s">
        <v>59</v>
      </c>
      <c r="AA321" s="17" t="s">
        <v>61</v>
      </c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39"/>
      <c r="X322" s="17"/>
      <c r="Y322" s="40" t="str">
        <f t="array" ref="Y322:AMX322">IF('STANDAR RESEP'!A346="", "", TRANSPOSE(INDIRECT(SUBSTITUTE(SUBSTITUTE(SUBSTITUTE('STANDAR RESEP'!A346, " ", "_"), "(", ""), ")", ""))))</f>
        <v>Tahu Fantasy</v>
      </c>
      <c r="Z322" s="17" t="s">
        <v>59</v>
      </c>
      <c r="AA322" s="17" t="s">
        <v>61</v>
      </c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39"/>
      <c r="X323" s="17"/>
      <c r="Y323" s="40" t="str">
        <f t="array" ref="Y323:AMX323">IF('STANDAR RESEP'!A347="", "", TRANSPOSE(INDIRECT(SUBSTITUTE(SUBSTITUTE(SUBSTITUTE('STANDAR RESEP'!A347, " ", "_"), "(", ""), ")", ""))))</f>
        <v>Tahu Fantasy</v>
      </c>
      <c r="Z323" s="17" t="s">
        <v>59</v>
      </c>
      <c r="AA323" s="17" t="s">
        <v>61</v>
      </c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39"/>
      <c r="X324" s="17"/>
      <c r="Y324" s="40" t="str">
        <f t="array" ref="Y324:AMX324">IF('STANDAR RESEP'!A348="", "", TRANSPOSE(INDIRECT(SUBSTITUTE(SUBSTITUTE(SUBSTITUTE('STANDAR RESEP'!A348, " ", "_"), "(", ""), ")", ""))))</f>
        <v>Tahu Fantasy</v>
      </c>
      <c r="Z324" s="17" t="s">
        <v>59</v>
      </c>
      <c r="AA324" s="17" t="s">
        <v>61</v>
      </c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39"/>
      <c r="X325" s="17"/>
      <c r="Y325" s="40" t="str">
        <f t="array" ref="Y325:AMX325">IF('STANDAR RESEP'!A349="", "", TRANSPOSE(INDIRECT(SUBSTITUTE(SUBSTITUTE(SUBSTITUTE('STANDAR RESEP'!A349, " ", "_"), "(", ""), ")", ""))))</f>
        <v>Tahu Fantasy</v>
      </c>
      <c r="Z325" s="17" t="s">
        <v>59</v>
      </c>
      <c r="AA325" s="17" t="s">
        <v>61</v>
      </c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39"/>
      <c r="X326" s="17"/>
      <c r="Y326" s="40" t="str">
        <f t="array" ref="Y326:AMX326">IF('STANDAR RESEP'!A350="", "", TRANSPOSE(INDIRECT(SUBSTITUTE(SUBSTITUTE(SUBSTITUTE('STANDAR RESEP'!A350, " ", "_"), "(", ""), ")", ""))))</f>
        <v>Tahu Fantasy</v>
      </c>
      <c r="Z326" s="17" t="s">
        <v>59</v>
      </c>
      <c r="AA326" s="17" t="s">
        <v>61</v>
      </c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39"/>
      <c r="X327" s="17"/>
      <c r="Y327" s="40" t="str">
        <f t="array" ref="Y327:AMX327">IF('STANDAR RESEP'!A351="", "", TRANSPOSE(INDIRECT(SUBSTITUTE(SUBSTITUTE(SUBSTITUTE('STANDAR RESEP'!A351, " ", "_"), "(", ""), ")", ""))))</f>
        <v>Tahu Fantasy</v>
      </c>
      <c r="Z327" s="17" t="s">
        <v>59</v>
      </c>
      <c r="AA327" s="17" t="s">
        <v>61</v>
      </c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39"/>
      <c r="X328" s="17"/>
      <c r="Y328" s="40" t="str">
        <f t="array" ref="Y328:AMX328">IF('STANDAR RESEP'!A352="", "", TRANSPOSE(INDIRECT(SUBSTITUTE(SUBSTITUTE(SUBSTITUTE('STANDAR RESEP'!A352, " ", "_"), "(", ""), ")", ""))))</f>
        <v>Tahu Fantasy</v>
      </c>
      <c r="Z328" s="17" t="s">
        <v>59</v>
      </c>
      <c r="AA328" s="17" t="s">
        <v>61</v>
      </c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39"/>
      <c r="X329" s="17"/>
      <c r="Y329" s="40" t="str">
        <f t="array" ref="Y329:AMX329">IF('STANDAR RESEP'!A353="", "", TRANSPOSE(INDIRECT(SUBSTITUTE(SUBSTITUTE(SUBSTITUTE('STANDAR RESEP'!A353, " ", "_"), "(", ""), ")", ""))))</f>
        <v>Tahu Fantasy</v>
      </c>
      <c r="Z329" s="17" t="s">
        <v>59</v>
      </c>
      <c r="AA329" s="17" t="s">
        <v>61</v>
      </c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39"/>
      <c r="X330" s="17"/>
      <c r="Y330" s="40" t="str">
        <f t="array" ref="Y330:AMX330">IF('STANDAR RESEP'!A354="", "", TRANSPOSE(INDIRECT(SUBSTITUTE(SUBSTITUTE(SUBSTITUTE('STANDAR RESEP'!A354, " ", "_"), "(", ""), ")", ""))))</f>
        <v>Tahu Fantasy</v>
      </c>
      <c r="Z330" s="17" t="s">
        <v>59</v>
      </c>
      <c r="AA330" s="17" t="s">
        <v>61</v>
      </c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39"/>
      <c r="X331" s="17"/>
      <c r="Y331" s="40" t="str">
        <f t="array" ref="Y331:AMX331">IF('STANDAR RESEP'!A357="", "", TRANSPOSE(INDIRECT(SUBSTITUTE(SUBSTITUTE(SUBSTITUTE('STANDAR RESEP'!A357, " ", "_"), "(", ""), ")", ""))))</f>
        <v>Tahu Fantasy</v>
      </c>
      <c r="Z331" s="17" t="s">
        <v>59</v>
      </c>
      <c r="AA331" s="17" t="s">
        <v>61</v>
      </c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39"/>
      <c r="X332" s="17"/>
      <c r="Y332" s="40" t="str">
        <f t="array" ref="Y332:AMX332">IF('STANDAR RESEP'!A358="", "", TRANSPOSE(INDIRECT(SUBSTITUTE(SUBSTITUTE(SUBSTITUTE('STANDAR RESEP'!A358, " ", "_"), "(", ""), ")", ""))))</f>
        <v>Tahu Fantasy</v>
      </c>
      <c r="Z332" s="17" t="s">
        <v>59</v>
      </c>
      <c r="AA332" s="17" t="s">
        <v>61</v>
      </c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39"/>
      <c r="X333" s="17"/>
      <c r="Y333" s="40" t="str">
        <f t="array" ref="Y333:AMX333">IF('STANDAR RESEP'!A359="", "", TRANSPOSE(INDIRECT(SUBSTITUTE(SUBSTITUTE(SUBSTITUTE('STANDAR RESEP'!A359, " ", "_"), "(", ""), ")", ""))))</f>
        <v>Tahu Fantasy</v>
      </c>
      <c r="Z333" s="17" t="s">
        <v>59</v>
      </c>
      <c r="AA333" s="17" t="s">
        <v>61</v>
      </c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39"/>
      <c r="X334" s="17"/>
      <c r="Y334" s="40" t="str">
        <f t="array" ref="Y334:AMX334">IF('STANDAR RESEP'!A360="", "", TRANSPOSE(INDIRECT(SUBSTITUTE(SUBSTITUTE(SUBSTITUTE('STANDAR RESEP'!A360, " ", "_"), "(", ""), ")", ""))))</f>
        <v>Tahu Fantasy</v>
      </c>
      <c r="Z334" s="17" t="s">
        <v>59</v>
      </c>
      <c r="AA334" s="17" t="s">
        <v>61</v>
      </c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39"/>
      <c r="X335" s="17"/>
      <c r="Y335" s="40" t="str">
        <f t="array" ref="Y335:AMX335">IF('STANDAR RESEP'!A361="", "", TRANSPOSE(INDIRECT(SUBSTITUTE(SUBSTITUTE(SUBSTITUTE('STANDAR RESEP'!A361, " ", "_"), "(", ""), ")", ""))))</f>
        <v>Tahu Fantasy</v>
      </c>
      <c r="Z335" s="17" t="s">
        <v>59</v>
      </c>
      <c r="AA335" s="17" t="s">
        <v>61</v>
      </c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39"/>
      <c r="X336" s="17"/>
      <c r="Y336" s="40" t="str">
        <f t="array" ref="Y336:AMX336">IF('STANDAR RESEP'!A362="", "", TRANSPOSE(INDIRECT(SUBSTITUTE(SUBSTITUTE(SUBSTITUTE('STANDAR RESEP'!A362, " ", "_"), "(", ""), ")", ""))))</f>
        <v>Tahu Fantasy</v>
      </c>
      <c r="Z336" s="17" t="s">
        <v>59</v>
      </c>
      <c r="AA336" s="17" t="s">
        <v>61</v>
      </c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39"/>
      <c r="X337" s="17"/>
      <c r="Y337" s="40" t="str">
        <f t="array" ref="Y337:AMX337">IF('STANDAR RESEP'!A363="", "", TRANSPOSE(INDIRECT(SUBSTITUTE(SUBSTITUTE(SUBSTITUTE('STANDAR RESEP'!A363, " ", "_"), "(", ""), ")", ""))))</f>
        <v>Tahu Fantasy</v>
      </c>
      <c r="Z337" s="17" t="s">
        <v>59</v>
      </c>
      <c r="AA337" s="17" t="s">
        <v>61</v>
      </c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39"/>
      <c r="X338" s="17"/>
      <c r="Y338" s="40" t="str">
        <f t="array" ref="Y338:AMX338">IF('STANDAR RESEP'!A364="", "", TRANSPOSE(INDIRECT(SUBSTITUTE(SUBSTITUTE(SUBSTITUTE('STANDAR RESEP'!A364, " ", "_"), "(", ""), ")", ""))))</f>
        <v>Tahu Fantasy</v>
      </c>
      <c r="Z338" s="17" t="s">
        <v>59</v>
      </c>
      <c r="AA338" s="17" t="s">
        <v>61</v>
      </c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39"/>
      <c r="X339" s="17"/>
      <c r="Y339" s="40" t="str">
        <f t="array" ref="Y339:AMX339">IF('STANDAR RESEP'!A365="", "", TRANSPOSE(INDIRECT(SUBSTITUTE(SUBSTITUTE(SUBSTITUTE('STANDAR RESEP'!A365, " ", "_"), "(", ""), ")", ""))))</f>
        <v>Tahu Fantasy</v>
      </c>
      <c r="Z339" s="17" t="s">
        <v>59</v>
      </c>
      <c r="AA339" s="17" t="s">
        <v>61</v>
      </c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39"/>
      <c r="X340" s="17"/>
      <c r="Y340" s="40" t="str">
        <f t="array" ref="Y340:AMX340">IF('STANDAR RESEP'!A366="", "", TRANSPOSE(INDIRECT(SUBSTITUTE(SUBSTITUTE(SUBSTITUTE('STANDAR RESEP'!A366, " ", "_"), "(", ""), ")", ""))))</f>
        <v>Tahu Fantasy</v>
      </c>
      <c r="Z340" s="17" t="s">
        <v>59</v>
      </c>
      <c r="AA340" s="17" t="s">
        <v>61</v>
      </c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39"/>
      <c r="X341" s="17"/>
      <c r="Y341" s="40" t="str">
        <f t="array" ref="Y341:AMX341">IF('STANDAR RESEP'!A367="", "", TRANSPOSE(INDIRECT(SUBSTITUTE(SUBSTITUTE(SUBSTITUTE('STANDAR RESEP'!A367, " ", "_"), "(", ""), ")", ""))))</f>
        <v>Tahu Fantasy</v>
      </c>
      <c r="Z341" s="17" t="s">
        <v>59</v>
      </c>
      <c r="AA341" s="17" t="s">
        <v>61</v>
      </c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39"/>
      <c r="X342" s="17"/>
      <c r="Y342" s="40" t="str">
        <f t="array" ref="Y342:AMX342">IF('STANDAR RESEP'!A368="", "", TRANSPOSE(INDIRECT(SUBSTITUTE(SUBSTITUTE(SUBSTITUTE('STANDAR RESEP'!A368, " ", "_"), "(", ""), ")", ""))))</f>
        <v>Kering Tempe</v>
      </c>
      <c r="Z342" s="17" t="s">
        <v>64</v>
      </c>
      <c r="AA342" s="17" t="s">
        <v>66</v>
      </c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39"/>
      <c r="X343" s="17"/>
      <c r="Y343" s="40" t="str">
        <f t="array" ref="Y343:AMX343">IF('STANDAR RESEP'!A369="", "", TRANSPOSE(INDIRECT(SUBSTITUTE(SUBSTITUTE(SUBSTITUTE('STANDAR RESEP'!A369, " ", "_"), "(", ""), ")", ""))))</f>
        <v>Kering Tempe</v>
      </c>
      <c r="Z343" s="17" t="s">
        <v>64</v>
      </c>
      <c r="AA343" s="17" t="s">
        <v>66</v>
      </c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39"/>
      <c r="X344" s="17"/>
      <c r="Y344" s="40" t="str">
        <f t="array" ref="Y344:AMX344">IF('STANDAR RESEP'!A370="", "", TRANSPOSE(INDIRECT(SUBSTITUTE(SUBSTITUTE(SUBSTITUTE('STANDAR RESEP'!A370, " ", "_"), "(", ""), ")", ""))))</f>
        <v>Kering Tempe</v>
      </c>
      <c r="Z344" s="17" t="s">
        <v>64</v>
      </c>
      <c r="AA344" s="17" t="s">
        <v>66</v>
      </c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39"/>
      <c r="X345" s="17"/>
      <c r="Y345" s="40" t="str">
        <f t="array" ref="Y345:AMX345">IF('STANDAR RESEP'!A371="", "", TRANSPOSE(INDIRECT(SUBSTITUTE(SUBSTITUTE(SUBSTITUTE('STANDAR RESEP'!A371, " ", "_"), "(", ""), ")", ""))))</f>
        <v>Kering Tempe</v>
      </c>
      <c r="Z345" s="17" t="s">
        <v>64</v>
      </c>
      <c r="AA345" s="17" t="s">
        <v>66</v>
      </c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39"/>
      <c r="X346" s="17"/>
      <c r="Y346" s="40" t="str">
        <f t="array" ref="Y346:AMX346">IF('STANDAR RESEP'!A372="", "", TRANSPOSE(INDIRECT(SUBSTITUTE(SUBSTITUTE(SUBSTITUTE('STANDAR RESEP'!A372, " ", "_"), "(", ""), ")", ""))))</f>
        <v>Kering Tempe</v>
      </c>
      <c r="Z346" s="17" t="s">
        <v>64</v>
      </c>
      <c r="AA346" s="17" t="s">
        <v>66</v>
      </c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39"/>
      <c r="X347" s="17"/>
      <c r="Y347" s="40" t="str">
        <f t="array" ref="Y347:AMX347">IF('STANDAR RESEP'!A373="", "", TRANSPOSE(INDIRECT(SUBSTITUTE(SUBSTITUTE(SUBSTITUTE('STANDAR RESEP'!A373, " ", "_"), "(", ""), ")", ""))))</f>
        <v>Kering Tempe</v>
      </c>
      <c r="Z347" s="17" t="s">
        <v>64</v>
      </c>
      <c r="AA347" s="17" t="s">
        <v>66</v>
      </c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39"/>
      <c r="X348" s="17"/>
      <c r="Y348" s="40" t="str">
        <f t="array" ref="Y348:AMX348">IF('STANDAR RESEP'!A374="", "", TRANSPOSE(INDIRECT(SUBSTITUTE(SUBSTITUTE(SUBSTITUTE('STANDAR RESEP'!A374, " ", "_"), "(", ""), ")", ""))))</f>
        <v>Kering Tempe</v>
      </c>
      <c r="Z348" s="17" t="s">
        <v>64</v>
      </c>
      <c r="AA348" s="17" t="s">
        <v>66</v>
      </c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39"/>
      <c r="X349" s="17"/>
      <c r="Y349" s="40" t="str">
        <f t="array" ref="Y349:AMX349">IF('STANDAR RESEP'!A375="", "", TRANSPOSE(INDIRECT(SUBSTITUTE(SUBSTITUTE(SUBSTITUTE('STANDAR RESEP'!A375, " ", "_"), "(", ""), ")", ""))))</f>
        <v>Kering Tempe</v>
      </c>
      <c r="Z349" s="17" t="s">
        <v>64</v>
      </c>
      <c r="AA349" s="17" t="s">
        <v>66</v>
      </c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39"/>
      <c r="X350" s="17"/>
      <c r="Y350" s="40" t="str">
        <f t="array" ref="Y350:AMX350">IF('STANDAR RESEP'!A376="", "", TRANSPOSE(INDIRECT(SUBSTITUTE(SUBSTITUTE(SUBSTITUTE('STANDAR RESEP'!A376, " ", "_"), "(", ""), ")", ""))))</f>
        <v>Kering Tempe</v>
      </c>
      <c r="Z350" s="17" t="s">
        <v>64</v>
      </c>
      <c r="AA350" s="17" t="s">
        <v>66</v>
      </c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39"/>
      <c r="X351" s="17"/>
      <c r="Y351" s="40" t="str">
        <f t="array" ref="Y351:AMX351">IF('STANDAR RESEP'!A377="", "", TRANSPOSE(INDIRECT(SUBSTITUTE(SUBSTITUTE(SUBSTITUTE('STANDAR RESEP'!A377, " ", "_"), "(", ""), ")", ""))))</f>
        <v>Kering Tempe</v>
      </c>
      <c r="Z351" s="17" t="s">
        <v>64</v>
      </c>
      <c r="AA351" s="17" t="s">
        <v>66</v>
      </c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39"/>
      <c r="X352" s="17"/>
      <c r="Y352" s="40" t="str">
        <f t="array" ref="Y352:AMX352">IF('STANDAR RESEP'!A378="", "", TRANSPOSE(INDIRECT(SUBSTITUTE(SUBSTITUTE(SUBSTITUTE('STANDAR RESEP'!A378, " ", "_"), "(", ""), ")", ""))))</f>
        <v>Kering Tempe</v>
      </c>
      <c r="Z352" s="17" t="s">
        <v>64</v>
      </c>
      <c r="AA352" s="17" t="s">
        <v>66</v>
      </c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39"/>
      <c r="X353" s="17"/>
      <c r="Y353" s="40" t="str">
        <f t="array" ref="Y353:AMX353">IF('STANDAR RESEP'!A379="", "", TRANSPOSE(INDIRECT(SUBSTITUTE(SUBSTITUTE(SUBSTITUTE('STANDAR RESEP'!A379, " ", "_"), "(", ""), ")", ""))))</f>
        <v>Kering Tempe</v>
      </c>
      <c r="Z353" s="17" t="s">
        <v>64</v>
      </c>
      <c r="AA353" s="17" t="s">
        <v>66</v>
      </c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39"/>
      <c r="X354" s="17"/>
      <c r="Y354" s="40" t="str">
        <f t="array" ref="Y354:AMX354">IF('STANDAR RESEP'!A381="", "", TRANSPOSE(INDIRECT(SUBSTITUTE(SUBSTITUTE(SUBSTITUTE('STANDAR RESEP'!A381, " ", "_"), "(", ""), ")", ""))))</f>
        <v>Kering Tempe</v>
      </c>
      <c r="Z354" s="17" t="s">
        <v>64</v>
      </c>
      <c r="AA354" s="17" t="s">
        <v>66</v>
      </c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39"/>
      <c r="X355" s="17"/>
      <c r="Y355" s="40" t="str">
        <f t="array" ref="Y355:AMX355">IF('STANDAR RESEP'!A382="", "", TRANSPOSE(INDIRECT(SUBSTITUTE(SUBSTITUTE(SUBSTITUTE('STANDAR RESEP'!A382, " ", "_"), "(", ""), ")", ""))))</f>
        <v>Kering Tempe</v>
      </c>
      <c r="Z355" s="17" t="s">
        <v>64</v>
      </c>
      <c r="AA355" s="17" t="s">
        <v>66</v>
      </c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39"/>
      <c r="X356" s="17"/>
      <c r="Y356" s="40" t="str">
        <f t="array" ref="Y356:AMX356">IF('STANDAR RESEP'!A383="", "", TRANSPOSE(INDIRECT(SUBSTITUTE(SUBSTITUTE(SUBSTITUTE('STANDAR RESEP'!A383, " ", "_"), "(", ""), ")", ""))))</f>
        <v>Kering Tempe</v>
      </c>
      <c r="Z356" s="17" t="s">
        <v>64</v>
      </c>
      <c r="AA356" s="17" t="s">
        <v>66</v>
      </c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39"/>
      <c r="X357" s="17"/>
      <c r="Y357" s="40" t="str">
        <f t="array" ref="Y357:AMX357">IF('STANDAR RESEP'!A385="", "", TRANSPOSE(INDIRECT(SUBSTITUTE(SUBSTITUTE(SUBSTITUTE('STANDAR RESEP'!A385, " ", "_"), "(", ""), ")", ""))))</f>
        <v>Kering Tempe</v>
      </c>
      <c r="Z357" s="17" t="s">
        <v>64</v>
      </c>
      <c r="AA357" s="17" t="s">
        <v>66</v>
      </c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39"/>
      <c r="X358" s="17"/>
      <c r="Y358" s="40" t="str">
        <f t="array" ref="Y358:AMX358">IF('STANDAR RESEP'!A386="", "", TRANSPOSE(INDIRECT(SUBSTITUTE(SUBSTITUTE(SUBSTITUTE('STANDAR RESEP'!A386, " ", "_"), "(", ""), ")", ""))))</f>
        <v>Kering Tempe</v>
      </c>
      <c r="Z358" s="17" t="s">
        <v>64</v>
      </c>
      <c r="AA358" s="17" t="s">
        <v>66</v>
      </c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39"/>
      <c r="X359" s="17"/>
      <c r="Y359" s="40" t="str">
        <f t="array" ref="Y359:AMX359">IF('STANDAR RESEP'!A387="", "", TRANSPOSE(INDIRECT(SUBSTITUTE(SUBSTITUTE(SUBSTITUTE('STANDAR RESEP'!A387, " ", "_"), "(", ""), ")", ""))))</f>
        <v>Kering Tempe</v>
      </c>
      <c r="Z359" s="17" t="s">
        <v>64</v>
      </c>
      <c r="AA359" s="17" t="s">
        <v>66</v>
      </c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39"/>
      <c r="X360" s="17"/>
      <c r="Y360" s="40" t="str">
        <f t="array" ref="Y360:AMX360">IF('STANDAR RESEP'!A388="", "", TRANSPOSE(INDIRECT(SUBSTITUTE(SUBSTITUTE(SUBSTITUTE('STANDAR RESEP'!A388, " ", "_"), "(", ""), ")", ""))))</f>
        <v>Kering Tempe</v>
      </c>
      <c r="Z360" s="17" t="s">
        <v>64</v>
      </c>
      <c r="AA360" s="17" t="s">
        <v>66</v>
      </c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39"/>
      <c r="X361" s="17"/>
      <c r="Y361" s="40" t="str">
        <f t="array" ref="Y361:AMX361">IF('STANDAR RESEP'!A389="", "", TRANSPOSE(INDIRECT(SUBSTITUTE(SUBSTITUTE(SUBSTITUTE('STANDAR RESEP'!A389, " ", "_"), "(", ""), ")", ""))))</f>
        <v>Kering Tempe</v>
      </c>
      <c r="Z361" s="17" t="s">
        <v>64</v>
      </c>
      <c r="AA361" s="17" t="s">
        <v>66</v>
      </c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39"/>
      <c r="X362" s="17"/>
      <c r="Y362" s="40" t="str">
        <f t="array" ref="Y362:AMX362">IF('STANDAR RESEP'!A390="", "", TRANSPOSE(INDIRECT(SUBSTITUTE(SUBSTITUTE(SUBSTITUTE('STANDAR RESEP'!A390, " ", "_"), "(", ""), ")", ""))))</f>
        <v>Edamame</v>
      </c>
      <c r="Z362" s="17" t="s">
        <v>71</v>
      </c>
      <c r="AA362" s="17" t="s">
        <v>70</v>
      </c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39"/>
      <c r="X363" s="17"/>
      <c r="Y363" s="40" t="str">
        <f t="array" ref="Y363:AMX363">IF('STANDAR RESEP'!A391="", "", TRANSPOSE(INDIRECT(SUBSTITUTE(SUBSTITUTE(SUBSTITUTE('STANDAR RESEP'!A391, " ", "_"), "(", ""), ")", ""))))</f>
        <v>Edamame</v>
      </c>
      <c r="Z363" s="17" t="s">
        <v>71</v>
      </c>
      <c r="AA363" s="17" t="s">
        <v>70</v>
      </c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39"/>
      <c r="X364" s="17"/>
      <c r="Y364" s="40" t="str">
        <f t="array" ref="Y364:AMX364">IF('STANDAR RESEP'!A392="", "", TRANSPOSE(INDIRECT(SUBSTITUTE(SUBSTITUTE(SUBSTITUTE('STANDAR RESEP'!A392, " ", "_"), "(", ""), ")", ""))))</f>
        <v>Edamame</v>
      </c>
      <c r="Z364" s="17" t="s">
        <v>71</v>
      </c>
      <c r="AA364" s="17" t="s">
        <v>70</v>
      </c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39"/>
      <c r="X365" s="17"/>
      <c r="Y365" s="40" t="str">
        <f t="array" ref="Y365:AMX365">IF('STANDAR RESEP'!A393="", "", TRANSPOSE(INDIRECT(SUBSTITUTE(SUBSTITUTE(SUBSTITUTE('STANDAR RESEP'!A393, " ", "_"), "(", ""), ")", ""))))</f>
        <v>Edamame</v>
      </c>
      <c r="Z365" s="17" t="s">
        <v>71</v>
      </c>
      <c r="AA365" s="17" t="s">
        <v>70</v>
      </c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39"/>
      <c r="X366" s="17"/>
      <c r="Y366" s="40" t="str">
        <f t="array" ref="Y366:AMX366">IF('STANDAR RESEP'!A394="", "", TRANSPOSE(INDIRECT(SUBSTITUTE(SUBSTITUTE(SUBSTITUTE('STANDAR RESEP'!A394, " ", "_"), "(", ""), ")", ""))))</f>
        <v>Acar Bening Mentimun Wortel</v>
      </c>
      <c r="Z366" s="17" t="s">
        <v>101</v>
      </c>
      <c r="AA366" s="17" t="s">
        <v>98</v>
      </c>
      <c r="AB366" s="17" t="s">
        <v>91</v>
      </c>
      <c r="AC366" s="17" t="s">
        <v>83</v>
      </c>
      <c r="AD366" s="17" t="s">
        <v>80</v>
      </c>
      <c r="AE366" s="17" t="s">
        <v>86</v>
      </c>
      <c r="AF366" s="17" t="s">
        <v>78</v>
      </c>
      <c r="AG366" s="17" t="s">
        <v>89</v>
      </c>
      <c r="AH366" s="17" t="s">
        <v>76</v>
      </c>
      <c r="AI366" s="17" t="s">
        <v>94</v>
      </c>
      <c r="AJ366" s="17" t="s">
        <v>73</v>
      </c>
      <c r="AK366" s="17" t="s">
        <v>84</v>
      </c>
      <c r="AL366" s="17" t="s">
        <v>96</v>
      </c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39"/>
      <c r="X367" s="17"/>
      <c r="Y367" s="40" t="str">
        <f t="array" ref="Y367:AMX367">IF('STANDAR RESEP'!A395="", "", TRANSPOSE(INDIRECT(SUBSTITUTE(SUBSTITUTE(SUBSTITUTE('STANDAR RESEP'!A395, " ", "_"), "(", ""), ")", ""))))</f>
        <v>Acar Bening Mentimun Wortel</v>
      </c>
      <c r="Z367" s="17" t="s">
        <v>101</v>
      </c>
      <c r="AA367" s="17" t="s">
        <v>98</v>
      </c>
      <c r="AB367" s="17" t="s">
        <v>91</v>
      </c>
      <c r="AC367" s="17" t="s">
        <v>83</v>
      </c>
      <c r="AD367" s="17" t="s">
        <v>80</v>
      </c>
      <c r="AE367" s="17" t="s">
        <v>86</v>
      </c>
      <c r="AF367" s="17" t="s">
        <v>78</v>
      </c>
      <c r="AG367" s="17" t="s">
        <v>89</v>
      </c>
      <c r="AH367" s="17" t="s">
        <v>76</v>
      </c>
      <c r="AI367" s="17" t="s">
        <v>94</v>
      </c>
      <c r="AJ367" s="17" t="s">
        <v>73</v>
      </c>
      <c r="AK367" s="17" t="s">
        <v>84</v>
      </c>
      <c r="AL367" s="17" t="s">
        <v>96</v>
      </c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39"/>
      <c r="X368" s="17"/>
      <c r="Y368" s="40" t="str">
        <f t="array" ref="Y368:AMX368">IF('STANDAR RESEP'!A396="", "", TRANSPOSE(INDIRECT(SUBSTITUTE(SUBSTITUTE(SUBSTITUTE('STANDAR RESEP'!A396, " ", "_"), "(", ""), ")", ""))))</f>
        <v>Acar Bening Mentimun Wortel</v>
      </c>
      <c r="Z368" s="17" t="s">
        <v>101</v>
      </c>
      <c r="AA368" s="17" t="s">
        <v>98</v>
      </c>
      <c r="AB368" s="17" t="s">
        <v>91</v>
      </c>
      <c r="AC368" s="17" t="s">
        <v>83</v>
      </c>
      <c r="AD368" s="17" t="s">
        <v>80</v>
      </c>
      <c r="AE368" s="17" t="s">
        <v>86</v>
      </c>
      <c r="AF368" s="17" t="s">
        <v>78</v>
      </c>
      <c r="AG368" s="17" t="s">
        <v>89</v>
      </c>
      <c r="AH368" s="17" t="s">
        <v>76</v>
      </c>
      <c r="AI368" s="17" t="s">
        <v>94</v>
      </c>
      <c r="AJ368" s="17" t="s">
        <v>73</v>
      </c>
      <c r="AK368" s="17" t="s">
        <v>84</v>
      </c>
      <c r="AL368" s="17" t="s">
        <v>96</v>
      </c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39"/>
      <c r="X369" s="17"/>
      <c r="Y369" s="40" t="str">
        <f t="array" ref="Y369:AMX369">IF('STANDAR RESEP'!A397="", "", TRANSPOSE(INDIRECT(SUBSTITUTE(SUBSTITUTE(SUBSTITUTE('STANDAR RESEP'!A397, " ", "_"), "(", ""), ")", ""))))</f>
        <v>Acar Bening Mentimun Wortel</v>
      </c>
      <c r="Z369" s="17" t="s">
        <v>101</v>
      </c>
      <c r="AA369" s="17" t="s">
        <v>98</v>
      </c>
      <c r="AB369" s="17" t="s">
        <v>91</v>
      </c>
      <c r="AC369" s="17" t="s">
        <v>83</v>
      </c>
      <c r="AD369" s="17" t="s">
        <v>80</v>
      </c>
      <c r="AE369" s="17" t="s">
        <v>86</v>
      </c>
      <c r="AF369" s="17" t="s">
        <v>78</v>
      </c>
      <c r="AG369" s="17" t="s">
        <v>89</v>
      </c>
      <c r="AH369" s="17" t="s">
        <v>76</v>
      </c>
      <c r="AI369" s="17" t="s">
        <v>94</v>
      </c>
      <c r="AJ369" s="17" t="s">
        <v>73</v>
      </c>
      <c r="AK369" s="17" t="s">
        <v>84</v>
      </c>
      <c r="AL369" s="17" t="s">
        <v>96</v>
      </c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39"/>
      <c r="X370" s="17"/>
      <c r="Y370" s="40" t="str">
        <f t="array" ref="Y370:AMX370">IF('STANDAR RESEP'!A398="", "", TRANSPOSE(INDIRECT(SUBSTITUTE(SUBSTITUTE(SUBSTITUTE('STANDAR RESEP'!A398, " ", "_"), "(", ""), ")", ""))))</f>
        <v>Acar Bening Mentimun Wortel</v>
      </c>
      <c r="Z370" s="17" t="s">
        <v>101</v>
      </c>
      <c r="AA370" s="17" t="s">
        <v>98</v>
      </c>
      <c r="AB370" s="17" t="s">
        <v>91</v>
      </c>
      <c r="AC370" s="17" t="s">
        <v>83</v>
      </c>
      <c r="AD370" s="17" t="s">
        <v>80</v>
      </c>
      <c r="AE370" s="17" t="s">
        <v>86</v>
      </c>
      <c r="AF370" s="17" t="s">
        <v>78</v>
      </c>
      <c r="AG370" s="17" t="s">
        <v>89</v>
      </c>
      <c r="AH370" s="17" t="s">
        <v>76</v>
      </c>
      <c r="AI370" s="17" t="s">
        <v>94</v>
      </c>
      <c r="AJ370" s="17" t="s">
        <v>73</v>
      </c>
      <c r="AK370" s="17" t="s">
        <v>84</v>
      </c>
      <c r="AL370" s="17" t="s">
        <v>96</v>
      </c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39"/>
      <c r="X371" s="17"/>
      <c r="Y371" s="40" t="str">
        <f t="array" ref="Y371:AMX371">IF('STANDAR RESEP'!A399="", "", TRANSPOSE(INDIRECT(SUBSTITUTE(SUBSTITUTE(SUBSTITUTE('STANDAR RESEP'!A399, " ", "_"), "(", ""), ")", ""))))</f>
        <v>Acar Bening Mentimun Wortel</v>
      </c>
      <c r="Z371" s="17" t="s">
        <v>101</v>
      </c>
      <c r="AA371" s="17" t="s">
        <v>98</v>
      </c>
      <c r="AB371" s="17" t="s">
        <v>91</v>
      </c>
      <c r="AC371" s="17" t="s">
        <v>83</v>
      </c>
      <c r="AD371" s="17" t="s">
        <v>80</v>
      </c>
      <c r="AE371" s="17" t="s">
        <v>86</v>
      </c>
      <c r="AF371" s="17" t="s">
        <v>78</v>
      </c>
      <c r="AG371" s="17" t="s">
        <v>89</v>
      </c>
      <c r="AH371" s="17" t="s">
        <v>76</v>
      </c>
      <c r="AI371" s="17" t="s">
        <v>94</v>
      </c>
      <c r="AJ371" s="17" t="s">
        <v>73</v>
      </c>
      <c r="AK371" s="17" t="s">
        <v>84</v>
      </c>
      <c r="AL371" s="17" t="s">
        <v>96</v>
      </c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39"/>
      <c r="X372" s="17"/>
      <c r="Y372" s="40" t="str">
        <f t="array" ref="Y372:AMX372">IF('STANDAR RESEP'!A400="", "", TRANSPOSE(INDIRECT(SUBSTITUTE(SUBSTITUTE(SUBSTITUTE('STANDAR RESEP'!A400, " ", "_"), "(", ""), ")", ""))))</f>
        <v>Acar Bening Mentimun Wortel</v>
      </c>
      <c r="Z372" s="17" t="s">
        <v>101</v>
      </c>
      <c r="AA372" s="17" t="s">
        <v>98</v>
      </c>
      <c r="AB372" s="17" t="s">
        <v>91</v>
      </c>
      <c r="AC372" s="17" t="s">
        <v>83</v>
      </c>
      <c r="AD372" s="17" t="s">
        <v>80</v>
      </c>
      <c r="AE372" s="17" t="s">
        <v>86</v>
      </c>
      <c r="AF372" s="17" t="s">
        <v>78</v>
      </c>
      <c r="AG372" s="17" t="s">
        <v>89</v>
      </c>
      <c r="AH372" s="17" t="s">
        <v>76</v>
      </c>
      <c r="AI372" s="17" t="s">
        <v>94</v>
      </c>
      <c r="AJ372" s="17" t="s">
        <v>73</v>
      </c>
      <c r="AK372" s="17" t="s">
        <v>84</v>
      </c>
      <c r="AL372" s="17" t="s">
        <v>96</v>
      </c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39"/>
      <c r="X373" s="17"/>
      <c r="Y373" s="40" t="str">
        <f t="array" ref="Y373:AMX373">IF('STANDAR RESEP'!A401="", "", TRANSPOSE(INDIRECT(SUBSTITUTE(SUBSTITUTE(SUBSTITUTE('STANDAR RESEP'!A401, " ", "_"), "(", ""), ")", ""))))</f>
        <v>Acar Bening Mentimun Wortel</v>
      </c>
      <c r="Z373" s="17" t="s">
        <v>101</v>
      </c>
      <c r="AA373" s="17" t="s">
        <v>98</v>
      </c>
      <c r="AB373" s="17" t="s">
        <v>91</v>
      </c>
      <c r="AC373" s="17" t="s">
        <v>83</v>
      </c>
      <c r="AD373" s="17" t="s">
        <v>80</v>
      </c>
      <c r="AE373" s="17" t="s">
        <v>86</v>
      </c>
      <c r="AF373" s="17" t="s">
        <v>78</v>
      </c>
      <c r="AG373" s="17" t="s">
        <v>89</v>
      </c>
      <c r="AH373" s="17" t="s">
        <v>76</v>
      </c>
      <c r="AI373" s="17" t="s">
        <v>94</v>
      </c>
      <c r="AJ373" s="17" t="s">
        <v>73</v>
      </c>
      <c r="AK373" s="17" t="s">
        <v>84</v>
      </c>
      <c r="AL373" s="17" t="s">
        <v>96</v>
      </c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39"/>
      <c r="X374" s="17"/>
      <c r="Y374" s="40" t="str">
        <f t="array" ref="Y374:AMX374">IF('STANDAR RESEP'!A402="", "", TRANSPOSE(INDIRECT(SUBSTITUTE(SUBSTITUTE(SUBSTITUTE('STANDAR RESEP'!A402, " ", "_"), "(", ""), ")", ""))))</f>
        <v>Acar Bening Mentimun Wortel</v>
      </c>
      <c r="Z374" s="17" t="s">
        <v>101</v>
      </c>
      <c r="AA374" s="17" t="s">
        <v>98</v>
      </c>
      <c r="AB374" s="17" t="s">
        <v>91</v>
      </c>
      <c r="AC374" s="17" t="s">
        <v>83</v>
      </c>
      <c r="AD374" s="17" t="s">
        <v>80</v>
      </c>
      <c r="AE374" s="17" t="s">
        <v>86</v>
      </c>
      <c r="AF374" s="17" t="s">
        <v>78</v>
      </c>
      <c r="AG374" s="17" t="s">
        <v>89</v>
      </c>
      <c r="AH374" s="17" t="s">
        <v>76</v>
      </c>
      <c r="AI374" s="17" t="s">
        <v>94</v>
      </c>
      <c r="AJ374" s="17" t="s">
        <v>73</v>
      </c>
      <c r="AK374" s="17" t="s">
        <v>84</v>
      </c>
      <c r="AL374" s="17" t="s">
        <v>96</v>
      </c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39"/>
      <c r="X375" s="17"/>
      <c r="Y375" s="40" t="str">
        <f t="array" ref="Y375:AMX375">IF('STANDAR RESEP'!A403="", "", TRANSPOSE(INDIRECT(SUBSTITUTE(SUBSTITUTE(SUBSTITUTE('STANDAR RESEP'!A403, " ", "_"), "(", ""), ")", ""))))</f>
        <v>Acar Bening Mentimun Wortel</v>
      </c>
      <c r="Z375" s="17" t="s">
        <v>101</v>
      </c>
      <c r="AA375" s="17" t="s">
        <v>98</v>
      </c>
      <c r="AB375" s="17" t="s">
        <v>91</v>
      </c>
      <c r="AC375" s="17" t="s">
        <v>83</v>
      </c>
      <c r="AD375" s="17" t="s">
        <v>80</v>
      </c>
      <c r="AE375" s="17" t="s">
        <v>86</v>
      </c>
      <c r="AF375" s="17" t="s">
        <v>78</v>
      </c>
      <c r="AG375" s="17" t="s">
        <v>89</v>
      </c>
      <c r="AH375" s="17" t="s">
        <v>76</v>
      </c>
      <c r="AI375" s="17" t="s">
        <v>94</v>
      </c>
      <c r="AJ375" s="17" t="s">
        <v>73</v>
      </c>
      <c r="AK375" s="17" t="s">
        <v>84</v>
      </c>
      <c r="AL375" s="17" t="s">
        <v>96</v>
      </c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39"/>
      <c r="X376" s="17"/>
      <c r="Y376" s="40" t="str">
        <f t="array" ref="Y376:AMX376">IF('STANDAR RESEP'!A404="", "", TRANSPOSE(INDIRECT(SUBSTITUTE(SUBSTITUTE(SUBSTITUTE('STANDAR RESEP'!A404, " ", "_"), "(", ""), ")", ""))))</f>
        <v>Acar Bening Mentimun Wortel</v>
      </c>
      <c r="Z376" s="17" t="s">
        <v>101</v>
      </c>
      <c r="AA376" s="17" t="s">
        <v>98</v>
      </c>
      <c r="AB376" s="17" t="s">
        <v>91</v>
      </c>
      <c r="AC376" s="17" t="s">
        <v>83</v>
      </c>
      <c r="AD376" s="17" t="s">
        <v>80</v>
      </c>
      <c r="AE376" s="17" t="s">
        <v>86</v>
      </c>
      <c r="AF376" s="17" t="s">
        <v>78</v>
      </c>
      <c r="AG376" s="17" t="s">
        <v>89</v>
      </c>
      <c r="AH376" s="17" t="s">
        <v>76</v>
      </c>
      <c r="AI376" s="17" t="s">
        <v>94</v>
      </c>
      <c r="AJ376" s="17" t="s">
        <v>73</v>
      </c>
      <c r="AK376" s="17" t="s">
        <v>84</v>
      </c>
      <c r="AL376" s="17" t="s">
        <v>96</v>
      </c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39"/>
      <c r="X377" s="17"/>
      <c r="Y377" s="40" t="str">
        <f t="array" ref="Y377:AMX377">IF('STANDAR RESEP'!A405="", "", TRANSPOSE(INDIRECT(SUBSTITUTE(SUBSTITUTE(SUBSTITUTE('STANDAR RESEP'!A405, " ", "_"), "(", ""), ")", ""))))</f>
        <v>Acar Bening Mentimun Wortel</v>
      </c>
      <c r="Z377" s="17" t="s">
        <v>101</v>
      </c>
      <c r="AA377" s="17" t="s">
        <v>98</v>
      </c>
      <c r="AB377" s="17" t="s">
        <v>91</v>
      </c>
      <c r="AC377" s="17" t="s">
        <v>83</v>
      </c>
      <c r="AD377" s="17" t="s">
        <v>80</v>
      </c>
      <c r="AE377" s="17" t="s">
        <v>86</v>
      </c>
      <c r="AF377" s="17" t="s">
        <v>78</v>
      </c>
      <c r="AG377" s="17" t="s">
        <v>89</v>
      </c>
      <c r="AH377" s="17" t="s">
        <v>76</v>
      </c>
      <c r="AI377" s="17" t="s">
        <v>94</v>
      </c>
      <c r="AJ377" s="17" t="s">
        <v>73</v>
      </c>
      <c r="AK377" s="17" t="s">
        <v>84</v>
      </c>
      <c r="AL377" s="17" t="s">
        <v>96</v>
      </c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39"/>
      <c r="X378" s="17"/>
      <c r="Y378" s="40" t="str">
        <f t="array" ref="Y378:AMX378">IF('STANDAR RESEP'!A406="", "", TRANSPOSE(INDIRECT(SUBSTITUTE(SUBSTITUTE(SUBSTITUTE('STANDAR RESEP'!A406, " ", "_"), "(", ""), ")", ""))))</f>
        <v>Acar Bening Mentimun Wortel</v>
      </c>
      <c r="Z378" s="17" t="s">
        <v>101</v>
      </c>
      <c r="AA378" s="17" t="s">
        <v>98</v>
      </c>
      <c r="AB378" s="17" t="s">
        <v>91</v>
      </c>
      <c r="AC378" s="17" t="s">
        <v>83</v>
      </c>
      <c r="AD378" s="17" t="s">
        <v>80</v>
      </c>
      <c r="AE378" s="17" t="s">
        <v>86</v>
      </c>
      <c r="AF378" s="17" t="s">
        <v>78</v>
      </c>
      <c r="AG378" s="17" t="s">
        <v>89</v>
      </c>
      <c r="AH378" s="17" t="s">
        <v>76</v>
      </c>
      <c r="AI378" s="17" t="s">
        <v>94</v>
      </c>
      <c r="AJ378" s="17" t="s">
        <v>73</v>
      </c>
      <c r="AK378" s="17" t="s">
        <v>84</v>
      </c>
      <c r="AL378" s="17" t="s">
        <v>96</v>
      </c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39"/>
      <c r="X379" s="17"/>
      <c r="Y379" s="40" t="str">
        <f t="array" ref="Y379:AMX379">IF('STANDAR RESEP'!A407="", "", TRANSPOSE(INDIRECT(SUBSTITUTE(SUBSTITUTE(SUBSTITUTE('STANDAR RESEP'!A407, " ", "_"), "(", ""), ")", ""))))</f>
        <v>Acar Bening Mentimun Wortel</v>
      </c>
      <c r="Z379" s="17" t="s">
        <v>101</v>
      </c>
      <c r="AA379" s="17" t="s">
        <v>98</v>
      </c>
      <c r="AB379" s="17" t="s">
        <v>91</v>
      </c>
      <c r="AC379" s="17" t="s">
        <v>83</v>
      </c>
      <c r="AD379" s="17" t="s">
        <v>80</v>
      </c>
      <c r="AE379" s="17" t="s">
        <v>86</v>
      </c>
      <c r="AF379" s="17" t="s">
        <v>78</v>
      </c>
      <c r="AG379" s="17" t="s">
        <v>89</v>
      </c>
      <c r="AH379" s="17" t="s">
        <v>76</v>
      </c>
      <c r="AI379" s="17" t="s">
        <v>94</v>
      </c>
      <c r="AJ379" s="17" t="s">
        <v>73</v>
      </c>
      <c r="AK379" s="17" t="s">
        <v>84</v>
      </c>
      <c r="AL379" s="17" t="s">
        <v>96</v>
      </c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39"/>
      <c r="X380" s="17"/>
      <c r="Y380" s="40" t="str">
        <f t="array" ref="Y380:AMX380">IF('STANDAR RESEP'!A408="", "", TRANSPOSE(INDIRECT(SUBSTITUTE(SUBSTITUTE(SUBSTITUTE('STANDAR RESEP'!A408, " ", "_"), "(", ""), ")", ""))))</f>
        <v>Acar Bening Mentimun Wortel</v>
      </c>
      <c r="Z380" s="17" t="s">
        <v>101</v>
      </c>
      <c r="AA380" s="17" t="s">
        <v>98</v>
      </c>
      <c r="AB380" s="17" t="s">
        <v>91</v>
      </c>
      <c r="AC380" s="17" t="s">
        <v>83</v>
      </c>
      <c r="AD380" s="17" t="s">
        <v>80</v>
      </c>
      <c r="AE380" s="17" t="s">
        <v>86</v>
      </c>
      <c r="AF380" s="17" t="s">
        <v>78</v>
      </c>
      <c r="AG380" s="17" t="s">
        <v>89</v>
      </c>
      <c r="AH380" s="17" t="s">
        <v>76</v>
      </c>
      <c r="AI380" s="17" t="s">
        <v>94</v>
      </c>
      <c r="AJ380" s="17" t="s">
        <v>73</v>
      </c>
      <c r="AK380" s="17" t="s">
        <v>84</v>
      </c>
      <c r="AL380" s="17" t="s">
        <v>96</v>
      </c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39"/>
      <c r="X381" s="17"/>
      <c r="Y381" s="40" t="str">
        <f t="array" ref="Y381:AMX381">IF('STANDAR RESEP'!A409="", "", TRANSPOSE(INDIRECT(SUBSTITUTE(SUBSTITUTE(SUBSTITUTE('STANDAR RESEP'!A409, " ", "_"), "(", ""), ")", ""))))</f>
        <v>Acar Bening Mentimun Wortel</v>
      </c>
      <c r="Z381" s="17" t="s">
        <v>101</v>
      </c>
      <c r="AA381" s="17" t="s">
        <v>98</v>
      </c>
      <c r="AB381" s="17" t="s">
        <v>91</v>
      </c>
      <c r="AC381" s="17" t="s">
        <v>83</v>
      </c>
      <c r="AD381" s="17" t="s">
        <v>80</v>
      </c>
      <c r="AE381" s="17" t="s">
        <v>86</v>
      </c>
      <c r="AF381" s="17" t="s">
        <v>78</v>
      </c>
      <c r="AG381" s="17" t="s">
        <v>89</v>
      </c>
      <c r="AH381" s="17" t="s">
        <v>76</v>
      </c>
      <c r="AI381" s="17" t="s">
        <v>94</v>
      </c>
      <c r="AJ381" s="17" t="s">
        <v>73</v>
      </c>
      <c r="AK381" s="17" t="s">
        <v>84</v>
      </c>
      <c r="AL381" s="17" t="s">
        <v>96</v>
      </c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39"/>
      <c r="X382" s="17"/>
      <c r="Y382" s="40" t="str">
        <f t="array" ref="Y382:AMX382">IF('STANDAR RESEP'!A410="", "", TRANSPOSE(INDIRECT(SUBSTITUTE(SUBSTITUTE(SUBSTITUTE('STANDAR RESEP'!A410, " ", "_"), "(", ""), ")", ""))))</f>
        <v>Acar Bening Mentimun Wortel</v>
      </c>
      <c r="Z382" s="17" t="s">
        <v>101</v>
      </c>
      <c r="AA382" s="17" t="s">
        <v>98</v>
      </c>
      <c r="AB382" s="17" t="s">
        <v>91</v>
      </c>
      <c r="AC382" s="17" t="s">
        <v>83</v>
      </c>
      <c r="AD382" s="17" t="s">
        <v>80</v>
      </c>
      <c r="AE382" s="17" t="s">
        <v>86</v>
      </c>
      <c r="AF382" s="17" t="s">
        <v>78</v>
      </c>
      <c r="AG382" s="17" t="s">
        <v>89</v>
      </c>
      <c r="AH382" s="17" t="s">
        <v>76</v>
      </c>
      <c r="AI382" s="17" t="s">
        <v>94</v>
      </c>
      <c r="AJ382" s="17" t="s">
        <v>73</v>
      </c>
      <c r="AK382" s="17" t="s">
        <v>84</v>
      </c>
      <c r="AL382" s="17" t="s">
        <v>96</v>
      </c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39"/>
      <c r="X383" s="17"/>
      <c r="Y383" s="40" t="str">
        <f t="array" ref="Y383:AMX383">IF('STANDAR RESEP'!A411="", "", TRANSPOSE(INDIRECT(SUBSTITUTE(SUBSTITUTE(SUBSTITUTE('STANDAR RESEP'!A411, " ", "_"), "(", ""), ")", ""))))</f>
        <v>Acar Bening Mentimun Wortel</v>
      </c>
      <c r="Z383" s="17" t="s">
        <v>101</v>
      </c>
      <c r="AA383" s="17" t="s">
        <v>98</v>
      </c>
      <c r="AB383" s="17" t="s">
        <v>91</v>
      </c>
      <c r="AC383" s="17" t="s">
        <v>83</v>
      </c>
      <c r="AD383" s="17" t="s">
        <v>80</v>
      </c>
      <c r="AE383" s="17" t="s">
        <v>86</v>
      </c>
      <c r="AF383" s="17" t="s">
        <v>78</v>
      </c>
      <c r="AG383" s="17" t="s">
        <v>89</v>
      </c>
      <c r="AH383" s="17" t="s">
        <v>76</v>
      </c>
      <c r="AI383" s="17" t="s">
        <v>94</v>
      </c>
      <c r="AJ383" s="17" t="s">
        <v>73</v>
      </c>
      <c r="AK383" s="17" t="s">
        <v>84</v>
      </c>
      <c r="AL383" s="17" t="s">
        <v>96</v>
      </c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39"/>
      <c r="X384" s="17"/>
      <c r="Y384" s="40" t="str">
        <f t="array" ref="Y384:AMX384">IF('STANDAR RESEP'!A412="", "", TRANSPOSE(INDIRECT(SUBSTITUTE(SUBSTITUTE(SUBSTITUTE('STANDAR RESEP'!A412, " ", "_"), "(", ""), ")", ""))))</f>
        <v>Acar Bening Mentimun Wortel</v>
      </c>
      <c r="Z384" s="17" t="s">
        <v>101</v>
      </c>
      <c r="AA384" s="17" t="s">
        <v>98</v>
      </c>
      <c r="AB384" s="17" t="s">
        <v>91</v>
      </c>
      <c r="AC384" s="17" t="s">
        <v>83</v>
      </c>
      <c r="AD384" s="17" t="s">
        <v>80</v>
      </c>
      <c r="AE384" s="17" t="s">
        <v>86</v>
      </c>
      <c r="AF384" s="17" t="s">
        <v>78</v>
      </c>
      <c r="AG384" s="17" t="s">
        <v>89</v>
      </c>
      <c r="AH384" s="17" t="s">
        <v>76</v>
      </c>
      <c r="AI384" s="17" t="s">
        <v>94</v>
      </c>
      <c r="AJ384" s="17" t="s">
        <v>73</v>
      </c>
      <c r="AK384" s="17" t="s">
        <v>84</v>
      </c>
      <c r="AL384" s="17" t="s">
        <v>96</v>
      </c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39"/>
      <c r="X385" s="17"/>
      <c r="Y385" s="40" t="str">
        <f t="array" ref="Y385:AMX385">IF('STANDAR RESEP'!A413="", "", TRANSPOSE(INDIRECT(SUBSTITUTE(SUBSTITUTE(SUBSTITUTE('STANDAR RESEP'!A413, " ", "_"), "(", ""), ")", ""))))</f>
        <v>Acar Bening Mentimun Wortel</v>
      </c>
      <c r="Z385" s="17" t="s">
        <v>101</v>
      </c>
      <c r="AA385" s="17" t="s">
        <v>98</v>
      </c>
      <c r="AB385" s="17" t="s">
        <v>91</v>
      </c>
      <c r="AC385" s="17" t="s">
        <v>83</v>
      </c>
      <c r="AD385" s="17" t="s">
        <v>80</v>
      </c>
      <c r="AE385" s="17" t="s">
        <v>86</v>
      </c>
      <c r="AF385" s="17" t="s">
        <v>78</v>
      </c>
      <c r="AG385" s="17" t="s">
        <v>89</v>
      </c>
      <c r="AH385" s="17" t="s">
        <v>76</v>
      </c>
      <c r="AI385" s="17" t="s">
        <v>94</v>
      </c>
      <c r="AJ385" s="17" t="s">
        <v>73</v>
      </c>
      <c r="AK385" s="17" t="s">
        <v>84</v>
      </c>
      <c r="AL385" s="17" t="s">
        <v>96</v>
      </c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39"/>
      <c r="X386" s="17"/>
      <c r="Y386" s="40" t="str">
        <f t="array" ref="Y386:AMX386">IF('STANDAR RESEP'!A414="", "", TRANSPOSE(INDIRECT(SUBSTITUTE(SUBSTITUTE(SUBSTITUTE('STANDAR RESEP'!A414, " ", "_"), "(", ""), ")", ""))))</f>
        <v>Acar Bening Mentimun Wortel</v>
      </c>
      <c r="Z386" s="17" t="s">
        <v>101</v>
      </c>
      <c r="AA386" s="17" t="s">
        <v>98</v>
      </c>
      <c r="AB386" s="17" t="s">
        <v>91</v>
      </c>
      <c r="AC386" s="17" t="s">
        <v>83</v>
      </c>
      <c r="AD386" s="17" t="s">
        <v>80</v>
      </c>
      <c r="AE386" s="17" t="s">
        <v>86</v>
      </c>
      <c r="AF386" s="17" t="s">
        <v>78</v>
      </c>
      <c r="AG386" s="17" t="s">
        <v>89</v>
      </c>
      <c r="AH386" s="17" t="s">
        <v>76</v>
      </c>
      <c r="AI386" s="17" t="s">
        <v>94</v>
      </c>
      <c r="AJ386" s="17" t="s">
        <v>73</v>
      </c>
      <c r="AK386" s="17" t="s">
        <v>84</v>
      </c>
      <c r="AL386" s="17" t="s">
        <v>96</v>
      </c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39"/>
      <c r="X387" s="17"/>
      <c r="Y387" s="40" t="str">
        <f t="array" ref="Y387:AMX387">IF('STANDAR RESEP'!A415="", "", TRANSPOSE(INDIRECT(SUBSTITUTE(SUBSTITUTE(SUBSTITUTE('STANDAR RESEP'!A415, " ", "_"), "(", ""), ")", ""))))</f>
        <v>Acar Bening Mentimun Wortel</v>
      </c>
      <c r="Z387" s="17" t="s">
        <v>101</v>
      </c>
      <c r="AA387" s="17" t="s">
        <v>98</v>
      </c>
      <c r="AB387" s="17" t="s">
        <v>91</v>
      </c>
      <c r="AC387" s="17" t="s">
        <v>83</v>
      </c>
      <c r="AD387" s="17" t="s">
        <v>80</v>
      </c>
      <c r="AE387" s="17" t="s">
        <v>86</v>
      </c>
      <c r="AF387" s="17" t="s">
        <v>78</v>
      </c>
      <c r="AG387" s="17" t="s">
        <v>89</v>
      </c>
      <c r="AH387" s="17" t="s">
        <v>76</v>
      </c>
      <c r="AI387" s="17" t="s">
        <v>94</v>
      </c>
      <c r="AJ387" s="17" t="s">
        <v>73</v>
      </c>
      <c r="AK387" s="17" t="s">
        <v>84</v>
      </c>
      <c r="AL387" s="17" t="s">
        <v>96</v>
      </c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39"/>
      <c r="X388" s="17"/>
      <c r="Y388" s="40" t="str">
        <f t="array" ref="Y388:AMX388">IF('STANDAR RESEP'!A416="", "", TRANSPOSE(INDIRECT(SUBSTITUTE(SUBSTITUTE(SUBSTITUTE('STANDAR RESEP'!A416, " ", "_"), "(", ""), ")", ""))))</f>
        <v>Acar Bening Mentimun Wortel</v>
      </c>
      <c r="Z388" s="17" t="s">
        <v>101</v>
      </c>
      <c r="AA388" s="17" t="s">
        <v>98</v>
      </c>
      <c r="AB388" s="17" t="s">
        <v>91</v>
      </c>
      <c r="AC388" s="17" t="s">
        <v>83</v>
      </c>
      <c r="AD388" s="17" t="s">
        <v>80</v>
      </c>
      <c r="AE388" s="17" t="s">
        <v>86</v>
      </c>
      <c r="AF388" s="17" t="s">
        <v>78</v>
      </c>
      <c r="AG388" s="17" t="s">
        <v>89</v>
      </c>
      <c r="AH388" s="17" t="s">
        <v>76</v>
      </c>
      <c r="AI388" s="17" t="s">
        <v>94</v>
      </c>
      <c r="AJ388" s="17" t="s">
        <v>73</v>
      </c>
      <c r="AK388" s="17" t="s">
        <v>84</v>
      </c>
      <c r="AL388" s="17" t="s">
        <v>96</v>
      </c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39"/>
      <c r="X389" s="17"/>
      <c r="Y389" s="40" t="str">
        <f t="array" ref="Y389:AMX389">IF('STANDAR RESEP'!A417="", "", TRANSPOSE(INDIRECT(SUBSTITUTE(SUBSTITUTE(SUBSTITUTE('STANDAR RESEP'!A417, " ", "_"), "(", ""), ")", ""))))</f>
        <v>Acar Bening Mentimun Wortel</v>
      </c>
      <c r="Z389" s="17" t="s">
        <v>101</v>
      </c>
      <c r="AA389" s="17" t="s">
        <v>98</v>
      </c>
      <c r="AB389" s="17" t="s">
        <v>91</v>
      </c>
      <c r="AC389" s="17" t="s">
        <v>83</v>
      </c>
      <c r="AD389" s="17" t="s">
        <v>80</v>
      </c>
      <c r="AE389" s="17" t="s">
        <v>86</v>
      </c>
      <c r="AF389" s="17" t="s">
        <v>78</v>
      </c>
      <c r="AG389" s="17" t="s">
        <v>89</v>
      </c>
      <c r="AH389" s="17" t="s">
        <v>76</v>
      </c>
      <c r="AI389" s="17" t="s">
        <v>94</v>
      </c>
      <c r="AJ389" s="17" t="s">
        <v>73</v>
      </c>
      <c r="AK389" s="17" t="s">
        <v>84</v>
      </c>
      <c r="AL389" s="17" t="s">
        <v>96</v>
      </c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39"/>
      <c r="X390" s="17"/>
      <c r="Y390" s="40" t="str">
        <f t="array" ref="Y390:AMX390">IF('STANDAR RESEP'!A418="", "", TRANSPOSE(INDIRECT(SUBSTITUTE(SUBSTITUTE(SUBSTITUTE('STANDAR RESEP'!A418, " ", "_"), "(", ""), ")", ""))))</f>
        <v>Acar Bening Mentimun Wortel</v>
      </c>
      <c r="Z390" s="17" t="s">
        <v>101</v>
      </c>
      <c r="AA390" s="17" t="s">
        <v>98</v>
      </c>
      <c r="AB390" s="17" t="s">
        <v>91</v>
      </c>
      <c r="AC390" s="17" t="s">
        <v>83</v>
      </c>
      <c r="AD390" s="17" t="s">
        <v>80</v>
      </c>
      <c r="AE390" s="17" t="s">
        <v>86</v>
      </c>
      <c r="AF390" s="17" t="s">
        <v>78</v>
      </c>
      <c r="AG390" s="17" t="s">
        <v>89</v>
      </c>
      <c r="AH390" s="17" t="s">
        <v>76</v>
      </c>
      <c r="AI390" s="17" t="s">
        <v>94</v>
      </c>
      <c r="AJ390" s="17" t="s">
        <v>73</v>
      </c>
      <c r="AK390" s="17" t="s">
        <v>84</v>
      </c>
      <c r="AL390" s="17" t="s">
        <v>96</v>
      </c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39"/>
      <c r="X391" s="17"/>
      <c r="Y391" s="40" t="str">
        <f t="array" ref="Y391:AMX391">IF('STANDAR RESEP'!A419="", "", TRANSPOSE(INDIRECT(SUBSTITUTE(SUBSTITUTE(SUBSTITUTE('STANDAR RESEP'!A419, " ", "_"), "(", ""), ")", ""))))</f>
        <v>Acar Bening Mentimun Wortel</v>
      </c>
      <c r="Z391" s="17" t="s">
        <v>101</v>
      </c>
      <c r="AA391" s="17" t="s">
        <v>98</v>
      </c>
      <c r="AB391" s="17" t="s">
        <v>91</v>
      </c>
      <c r="AC391" s="17" t="s">
        <v>83</v>
      </c>
      <c r="AD391" s="17" t="s">
        <v>80</v>
      </c>
      <c r="AE391" s="17" t="s">
        <v>86</v>
      </c>
      <c r="AF391" s="17" t="s">
        <v>78</v>
      </c>
      <c r="AG391" s="17" t="s">
        <v>89</v>
      </c>
      <c r="AH391" s="17" t="s">
        <v>76</v>
      </c>
      <c r="AI391" s="17" t="s">
        <v>94</v>
      </c>
      <c r="AJ391" s="17" t="s">
        <v>73</v>
      </c>
      <c r="AK391" s="17" t="s">
        <v>84</v>
      </c>
      <c r="AL391" s="17" t="s">
        <v>96</v>
      </c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39"/>
      <c r="X392" s="17"/>
      <c r="Y392" s="40" t="str">
        <f t="array" ref="Y392:AMX392">IF('STANDAR RESEP'!A420="", "", TRANSPOSE(INDIRECT(SUBSTITUTE(SUBSTITUTE(SUBSTITUTE('STANDAR RESEP'!A420, " ", "_"), "(", ""), ")", ""))))</f>
        <v>Acar Bening Mentimun Wortel</v>
      </c>
      <c r="Z392" s="17" t="s">
        <v>101</v>
      </c>
      <c r="AA392" s="17" t="s">
        <v>98</v>
      </c>
      <c r="AB392" s="17" t="s">
        <v>91</v>
      </c>
      <c r="AC392" s="17" t="s">
        <v>83</v>
      </c>
      <c r="AD392" s="17" t="s">
        <v>80</v>
      </c>
      <c r="AE392" s="17" t="s">
        <v>86</v>
      </c>
      <c r="AF392" s="17" t="s">
        <v>78</v>
      </c>
      <c r="AG392" s="17" t="s">
        <v>89</v>
      </c>
      <c r="AH392" s="17" t="s">
        <v>76</v>
      </c>
      <c r="AI392" s="17" t="s">
        <v>94</v>
      </c>
      <c r="AJ392" s="17" t="s">
        <v>73</v>
      </c>
      <c r="AK392" s="17" t="s">
        <v>84</v>
      </c>
      <c r="AL392" s="17" t="s">
        <v>96</v>
      </c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39"/>
      <c r="X393" s="17"/>
      <c r="Y393" s="40" t="str">
        <f t="array" ref="Y393:AMX393">IF('STANDAR RESEP'!A421="", "", TRANSPOSE(INDIRECT(SUBSTITUTE(SUBSTITUTE(SUBSTITUTE('STANDAR RESEP'!A421, " ", "_"), "(", ""), ")", ""))))</f>
        <v>Acar Bening Mentimun Wortel</v>
      </c>
      <c r="Z393" s="17" t="s">
        <v>101</v>
      </c>
      <c r="AA393" s="17" t="s">
        <v>98</v>
      </c>
      <c r="AB393" s="17" t="s">
        <v>91</v>
      </c>
      <c r="AC393" s="17" t="s">
        <v>83</v>
      </c>
      <c r="AD393" s="17" t="s">
        <v>80</v>
      </c>
      <c r="AE393" s="17" t="s">
        <v>86</v>
      </c>
      <c r="AF393" s="17" t="s">
        <v>78</v>
      </c>
      <c r="AG393" s="17" t="s">
        <v>89</v>
      </c>
      <c r="AH393" s="17" t="s">
        <v>76</v>
      </c>
      <c r="AI393" s="17" t="s">
        <v>94</v>
      </c>
      <c r="AJ393" s="17" t="s">
        <v>73</v>
      </c>
      <c r="AK393" s="17" t="s">
        <v>84</v>
      </c>
      <c r="AL393" s="17" t="s">
        <v>96</v>
      </c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39"/>
      <c r="X394" s="17"/>
      <c r="Y394" s="40" t="str">
        <f t="array" ref="Y394:AMX394">IF('STANDAR RESEP'!A422="", "", TRANSPOSE(INDIRECT(SUBSTITUTE(SUBSTITUTE(SUBSTITUTE('STANDAR RESEP'!A422, " ", "_"), "(", ""), ")", ""))))</f>
        <v>Acar Bening Mentimun Wortel</v>
      </c>
      <c r="Z394" s="17" t="s">
        <v>101</v>
      </c>
      <c r="AA394" s="17" t="s">
        <v>98</v>
      </c>
      <c r="AB394" s="17" t="s">
        <v>91</v>
      </c>
      <c r="AC394" s="17" t="s">
        <v>83</v>
      </c>
      <c r="AD394" s="17" t="s">
        <v>80</v>
      </c>
      <c r="AE394" s="17" t="s">
        <v>86</v>
      </c>
      <c r="AF394" s="17" t="s">
        <v>78</v>
      </c>
      <c r="AG394" s="17" t="s">
        <v>89</v>
      </c>
      <c r="AH394" s="17" t="s">
        <v>76</v>
      </c>
      <c r="AI394" s="17" t="s">
        <v>94</v>
      </c>
      <c r="AJ394" s="17" t="s">
        <v>73</v>
      </c>
      <c r="AK394" s="17" t="s">
        <v>84</v>
      </c>
      <c r="AL394" s="17" t="s">
        <v>96</v>
      </c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39"/>
      <c r="X395" s="17"/>
      <c r="Y395" s="40" t="str">
        <f t="array" ref="Y395:AMX395">IF('STANDAR RESEP'!A423="", "", TRANSPOSE(INDIRECT(SUBSTITUTE(SUBSTITUTE(SUBSTITUTE('STANDAR RESEP'!A423, " ", "_"), "(", ""), ")", ""))))</f>
        <v>Acar Bening Mentimun Wortel</v>
      </c>
      <c r="Z395" s="17" t="s">
        <v>101</v>
      </c>
      <c r="AA395" s="17" t="s">
        <v>98</v>
      </c>
      <c r="AB395" s="17" t="s">
        <v>91</v>
      </c>
      <c r="AC395" s="17" t="s">
        <v>83</v>
      </c>
      <c r="AD395" s="17" t="s">
        <v>80</v>
      </c>
      <c r="AE395" s="17" t="s">
        <v>86</v>
      </c>
      <c r="AF395" s="17" t="s">
        <v>78</v>
      </c>
      <c r="AG395" s="17" t="s">
        <v>89</v>
      </c>
      <c r="AH395" s="17" t="s">
        <v>76</v>
      </c>
      <c r="AI395" s="17" t="s">
        <v>94</v>
      </c>
      <c r="AJ395" s="17" t="s">
        <v>73</v>
      </c>
      <c r="AK395" s="17" t="s">
        <v>84</v>
      </c>
      <c r="AL395" s="17" t="s">
        <v>96</v>
      </c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39"/>
      <c r="X396" s="17"/>
      <c r="Y396" s="40" t="str">
        <f t="array" ref="Y396:AMX396">IF('STANDAR RESEP'!A424="", "", TRANSPOSE(INDIRECT(SUBSTITUTE(SUBSTITUTE(SUBSTITUTE('STANDAR RESEP'!A424, " ", "_"), "(", ""), ")", ""))))</f>
        <v>Acar Bening Mentimun Wortel</v>
      </c>
      <c r="Z396" s="17" t="s">
        <v>101</v>
      </c>
      <c r="AA396" s="17" t="s">
        <v>98</v>
      </c>
      <c r="AB396" s="17" t="s">
        <v>91</v>
      </c>
      <c r="AC396" s="17" t="s">
        <v>83</v>
      </c>
      <c r="AD396" s="17" t="s">
        <v>80</v>
      </c>
      <c r="AE396" s="17" t="s">
        <v>86</v>
      </c>
      <c r="AF396" s="17" t="s">
        <v>78</v>
      </c>
      <c r="AG396" s="17" t="s">
        <v>89</v>
      </c>
      <c r="AH396" s="17" t="s">
        <v>76</v>
      </c>
      <c r="AI396" s="17" t="s">
        <v>94</v>
      </c>
      <c r="AJ396" s="17" t="s">
        <v>73</v>
      </c>
      <c r="AK396" s="17" t="s">
        <v>84</v>
      </c>
      <c r="AL396" s="17" t="s">
        <v>96</v>
      </c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39"/>
      <c r="X397" s="17"/>
      <c r="Y397" s="40" t="str">
        <f t="array" ref="Y397:AMX397">IF('STANDAR RESEP'!A425="", "", TRANSPOSE(INDIRECT(SUBSTITUTE(SUBSTITUTE(SUBSTITUTE('STANDAR RESEP'!A425, " ", "_"), "(", ""), ")", ""))))</f>
        <v>Acar Bening Mentimun Wortel</v>
      </c>
      <c r="Z397" s="17" t="s">
        <v>101</v>
      </c>
      <c r="AA397" s="17" t="s">
        <v>98</v>
      </c>
      <c r="AB397" s="17" t="s">
        <v>91</v>
      </c>
      <c r="AC397" s="17" t="s">
        <v>83</v>
      </c>
      <c r="AD397" s="17" t="s">
        <v>80</v>
      </c>
      <c r="AE397" s="17" t="s">
        <v>86</v>
      </c>
      <c r="AF397" s="17" t="s">
        <v>78</v>
      </c>
      <c r="AG397" s="17" t="s">
        <v>89</v>
      </c>
      <c r="AH397" s="17" t="s">
        <v>76</v>
      </c>
      <c r="AI397" s="17" t="s">
        <v>94</v>
      </c>
      <c r="AJ397" s="17" t="s">
        <v>73</v>
      </c>
      <c r="AK397" s="17" t="s">
        <v>84</v>
      </c>
      <c r="AL397" s="17" t="s">
        <v>96</v>
      </c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39"/>
      <c r="X398" s="17"/>
      <c r="Y398" s="40" t="str">
        <f t="array" ref="Y398:AMX398">IF('STANDAR RESEP'!A426="", "", TRANSPOSE(INDIRECT(SUBSTITUTE(SUBSTITUTE(SUBSTITUTE('STANDAR RESEP'!A426, " ", "_"), "(", ""), ")", ""))))</f>
        <v>Acar Bening Mentimun Wortel</v>
      </c>
      <c r="Z398" s="17" t="s">
        <v>101</v>
      </c>
      <c r="AA398" s="17" t="s">
        <v>98</v>
      </c>
      <c r="AB398" s="17" t="s">
        <v>91</v>
      </c>
      <c r="AC398" s="17" t="s">
        <v>83</v>
      </c>
      <c r="AD398" s="17" t="s">
        <v>80</v>
      </c>
      <c r="AE398" s="17" t="s">
        <v>86</v>
      </c>
      <c r="AF398" s="17" t="s">
        <v>78</v>
      </c>
      <c r="AG398" s="17" t="s">
        <v>89</v>
      </c>
      <c r="AH398" s="17" t="s">
        <v>76</v>
      </c>
      <c r="AI398" s="17" t="s">
        <v>94</v>
      </c>
      <c r="AJ398" s="17" t="s">
        <v>73</v>
      </c>
      <c r="AK398" s="17" t="s">
        <v>84</v>
      </c>
      <c r="AL398" s="17" t="s">
        <v>96</v>
      </c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39"/>
      <c r="X399" s="17"/>
      <c r="Y399" s="40" t="str">
        <f t="array" ref="Y399:AMX399">IF('STANDAR RESEP'!A427="", "", TRANSPOSE(INDIRECT(SUBSTITUTE(SUBSTITUTE(SUBSTITUTE('STANDAR RESEP'!A427, " ", "_"), "(", ""), ")", ""))))</f>
        <v>Acar Bening Mentimun Wortel</v>
      </c>
      <c r="Z399" s="17" t="s">
        <v>101</v>
      </c>
      <c r="AA399" s="17" t="s">
        <v>98</v>
      </c>
      <c r="AB399" s="17" t="s">
        <v>91</v>
      </c>
      <c r="AC399" s="17" t="s">
        <v>83</v>
      </c>
      <c r="AD399" s="17" t="s">
        <v>80</v>
      </c>
      <c r="AE399" s="17" t="s">
        <v>86</v>
      </c>
      <c r="AF399" s="17" t="s">
        <v>78</v>
      </c>
      <c r="AG399" s="17" t="s">
        <v>89</v>
      </c>
      <c r="AH399" s="17" t="s">
        <v>76</v>
      </c>
      <c r="AI399" s="17" t="s">
        <v>94</v>
      </c>
      <c r="AJ399" s="17" t="s">
        <v>73</v>
      </c>
      <c r="AK399" s="17" t="s">
        <v>84</v>
      </c>
      <c r="AL399" s="17" t="s">
        <v>96</v>
      </c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39"/>
      <c r="X400" s="17"/>
      <c r="Y400" s="40" t="str">
        <f t="array" ref="Y400:AMX400">IF('STANDAR RESEP'!A428="", "", TRANSPOSE(INDIRECT(SUBSTITUTE(SUBSTITUTE(SUBSTITUTE('STANDAR RESEP'!A428, " ", "_"), "(", ""), ")", ""))))</f>
        <v>Acar Bening Mentimun Wortel</v>
      </c>
      <c r="Z400" s="17" t="s">
        <v>101</v>
      </c>
      <c r="AA400" s="17" t="s">
        <v>98</v>
      </c>
      <c r="AB400" s="17" t="s">
        <v>91</v>
      </c>
      <c r="AC400" s="17" t="s">
        <v>83</v>
      </c>
      <c r="AD400" s="17" t="s">
        <v>80</v>
      </c>
      <c r="AE400" s="17" t="s">
        <v>86</v>
      </c>
      <c r="AF400" s="17" t="s">
        <v>78</v>
      </c>
      <c r="AG400" s="17" t="s">
        <v>89</v>
      </c>
      <c r="AH400" s="17" t="s">
        <v>76</v>
      </c>
      <c r="AI400" s="17" t="s">
        <v>94</v>
      </c>
      <c r="AJ400" s="17" t="s">
        <v>73</v>
      </c>
      <c r="AK400" s="17" t="s">
        <v>84</v>
      </c>
      <c r="AL400" s="17" t="s">
        <v>96</v>
      </c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39"/>
      <c r="X401" s="17"/>
      <c r="Y401" s="40" t="str">
        <f t="array" ref="Y401:AMX401">IF('STANDAR RESEP'!A429="", "", TRANSPOSE(INDIRECT(SUBSTITUTE(SUBSTITUTE(SUBSTITUTE('STANDAR RESEP'!A429, " ", "_"), "(", ""), ")", ""))))</f>
        <v>Acar Bening Mentimun Wortel</v>
      </c>
      <c r="Z401" s="17" t="s">
        <v>101</v>
      </c>
      <c r="AA401" s="17" t="s">
        <v>98</v>
      </c>
      <c r="AB401" s="17" t="s">
        <v>91</v>
      </c>
      <c r="AC401" s="17" t="s">
        <v>83</v>
      </c>
      <c r="AD401" s="17" t="s">
        <v>80</v>
      </c>
      <c r="AE401" s="17" t="s">
        <v>86</v>
      </c>
      <c r="AF401" s="17" t="s">
        <v>78</v>
      </c>
      <c r="AG401" s="17" t="s">
        <v>89</v>
      </c>
      <c r="AH401" s="17" t="s">
        <v>76</v>
      </c>
      <c r="AI401" s="17" t="s">
        <v>94</v>
      </c>
      <c r="AJ401" s="17" t="s">
        <v>73</v>
      </c>
      <c r="AK401" s="17" t="s">
        <v>84</v>
      </c>
      <c r="AL401" s="17" t="s">
        <v>96</v>
      </c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39"/>
      <c r="X402" s="17"/>
      <c r="Y402" s="40" t="str">
        <f t="array" ref="Y402:AMX402">IF('STANDAR RESEP'!A430="", "", TRANSPOSE(INDIRECT(SUBSTITUTE(SUBSTITUTE(SUBSTITUTE('STANDAR RESEP'!A430, " ", "_"), "(", ""), ")", ""))))</f>
        <v>Acar Bening Mentimun Wortel</v>
      </c>
      <c r="Z402" s="17" t="s">
        <v>101</v>
      </c>
      <c r="AA402" s="17" t="s">
        <v>98</v>
      </c>
      <c r="AB402" s="17" t="s">
        <v>91</v>
      </c>
      <c r="AC402" s="17" t="s">
        <v>83</v>
      </c>
      <c r="AD402" s="17" t="s">
        <v>80</v>
      </c>
      <c r="AE402" s="17" t="s">
        <v>86</v>
      </c>
      <c r="AF402" s="17" t="s">
        <v>78</v>
      </c>
      <c r="AG402" s="17" t="s">
        <v>89</v>
      </c>
      <c r="AH402" s="17" t="s">
        <v>76</v>
      </c>
      <c r="AI402" s="17" t="s">
        <v>94</v>
      </c>
      <c r="AJ402" s="17" t="s">
        <v>73</v>
      </c>
      <c r="AK402" s="17" t="s">
        <v>84</v>
      </c>
      <c r="AL402" s="17" t="s">
        <v>96</v>
      </c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39"/>
      <c r="X403" s="17"/>
      <c r="Y403" s="40" t="str">
        <f t="array" ref="Y403:AMX403">IF('STANDAR RESEP'!A431="", "", TRANSPOSE(INDIRECT(SUBSTITUTE(SUBSTITUTE(SUBSTITUTE('STANDAR RESEP'!A431, " ", "_"), "(", ""), ")", ""))))</f>
        <v>Acar Bening Mentimun Wortel</v>
      </c>
      <c r="Z403" s="17" t="s">
        <v>101</v>
      </c>
      <c r="AA403" s="17" t="s">
        <v>98</v>
      </c>
      <c r="AB403" s="17" t="s">
        <v>91</v>
      </c>
      <c r="AC403" s="17" t="s">
        <v>83</v>
      </c>
      <c r="AD403" s="17" t="s">
        <v>80</v>
      </c>
      <c r="AE403" s="17" t="s">
        <v>86</v>
      </c>
      <c r="AF403" s="17" t="s">
        <v>78</v>
      </c>
      <c r="AG403" s="17" t="s">
        <v>89</v>
      </c>
      <c r="AH403" s="17" t="s">
        <v>76</v>
      </c>
      <c r="AI403" s="17" t="s">
        <v>94</v>
      </c>
      <c r="AJ403" s="17" t="s">
        <v>73</v>
      </c>
      <c r="AK403" s="17" t="s">
        <v>84</v>
      </c>
      <c r="AL403" s="17" t="s">
        <v>96</v>
      </c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39"/>
      <c r="X404" s="17"/>
      <c r="Y404" s="40" t="str">
        <f t="array" ref="Y404:AMX404">IF('STANDAR RESEP'!A432="", "", TRANSPOSE(INDIRECT(SUBSTITUTE(SUBSTITUTE(SUBSTITUTE('STANDAR RESEP'!A432, " ", "_"), "(", ""), ")", ""))))</f>
        <v>Acar Bening Mentimun Wortel</v>
      </c>
      <c r="Z404" s="17" t="s">
        <v>101</v>
      </c>
      <c r="AA404" s="17" t="s">
        <v>98</v>
      </c>
      <c r="AB404" s="17" t="s">
        <v>91</v>
      </c>
      <c r="AC404" s="17" t="s">
        <v>83</v>
      </c>
      <c r="AD404" s="17" t="s">
        <v>80</v>
      </c>
      <c r="AE404" s="17" t="s">
        <v>86</v>
      </c>
      <c r="AF404" s="17" t="s">
        <v>78</v>
      </c>
      <c r="AG404" s="17" t="s">
        <v>89</v>
      </c>
      <c r="AH404" s="17" t="s">
        <v>76</v>
      </c>
      <c r="AI404" s="17" t="s">
        <v>94</v>
      </c>
      <c r="AJ404" s="17" t="s">
        <v>73</v>
      </c>
      <c r="AK404" s="17" t="s">
        <v>84</v>
      </c>
      <c r="AL404" s="17" t="s">
        <v>96</v>
      </c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39"/>
      <c r="X405" s="17"/>
      <c r="Y405" s="40" t="str">
        <f t="array" ref="Y405:AMX405">IF('STANDAR RESEP'!A433="", "", TRANSPOSE(INDIRECT(SUBSTITUTE(SUBSTITUTE(SUBSTITUTE('STANDAR RESEP'!A433, " ", "_"), "(", ""), ")", ""))))</f>
        <v>Acar Bening Mentimun Wortel</v>
      </c>
      <c r="Z405" s="17" t="s">
        <v>101</v>
      </c>
      <c r="AA405" s="17" t="s">
        <v>98</v>
      </c>
      <c r="AB405" s="17" t="s">
        <v>91</v>
      </c>
      <c r="AC405" s="17" t="s">
        <v>83</v>
      </c>
      <c r="AD405" s="17" t="s">
        <v>80</v>
      </c>
      <c r="AE405" s="17" t="s">
        <v>86</v>
      </c>
      <c r="AF405" s="17" t="s">
        <v>78</v>
      </c>
      <c r="AG405" s="17" t="s">
        <v>89</v>
      </c>
      <c r="AH405" s="17" t="s">
        <v>76</v>
      </c>
      <c r="AI405" s="17" t="s">
        <v>94</v>
      </c>
      <c r="AJ405" s="17" t="s">
        <v>73</v>
      </c>
      <c r="AK405" s="17" t="s">
        <v>84</v>
      </c>
      <c r="AL405" s="17" t="s">
        <v>96</v>
      </c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39"/>
      <c r="X406" s="17"/>
      <c r="Y406" s="40" t="str">
        <f t="array" ref="Y406:AMX406">IF('STANDAR RESEP'!A434="", "", TRANSPOSE(INDIRECT(SUBSTITUTE(SUBSTITUTE(SUBSTITUTE('STANDAR RESEP'!A434, " ", "_"), "(", ""), ")", ""))))</f>
        <v>Acar Bening Mentimun Wortel</v>
      </c>
      <c r="Z406" s="17" t="s">
        <v>101</v>
      </c>
      <c r="AA406" s="17" t="s">
        <v>98</v>
      </c>
      <c r="AB406" s="17" t="s">
        <v>91</v>
      </c>
      <c r="AC406" s="17" t="s">
        <v>83</v>
      </c>
      <c r="AD406" s="17" t="s">
        <v>80</v>
      </c>
      <c r="AE406" s="17" t="s">
        <v>86</v>
      </c>
      <c r="AF406" s="17" t="s">
        <v>78</v>
      </c>
      <c r="AG406" s="17" t="s">
        <v>89</v>
      </c>
      <c r="AH406" s="17" t="s">
        <v>76</v>
      </c>
      <c r="AI406" s="17" t="s">
        <v>94</v>
      </c>
      <c r="AJ406" s="17" t="s">
        <v>73</v>
      </c>
      <c r="AK406" s="17" t="s">
        <v>84</v>
      </c>
      <c r="AL406" s="17" t="s">
        <v>96</v>
      </c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39"/>
      <c r="X407" s="17"/>
      <c r="Y407" s="40" t="str">
        <f t="array" ref="Y407:AMX407">IF('STANDAR RESEP'!A435="", "", TRANSPOSE(INDIRECT(SUBSTITUTE(SUBSTITUTE(SUBSTITUTE('STANDAR RESEP'!A435, " ", "_"), "(", ""), ")", ""))))</f>
        <v>Acar Bening Mentimun Wortel</v>
      </c>
      <c r="Z407" s="17" t="s">
        <v>101</v>
      </c>
      <c r="AA407" s="17" t="s">
        <v>98</v>
      </c>
      <c r="AB407" s="17" t="s">
        <v>91</v>
      </c>
      <c r="AC407" s="17" t="s">
        <v>83</v>
      </c>
      <c r="AD407" s="17" t="s">
        <v>80</v>
      </c>
      <c r="AE407" s="17" t="s">
        <v>86</v>
      </c>
      <c r="AF407" s="17" t="s">
        <v>78</v>
      </c>
      <c r="AG407" s="17" t="s">
        <v>89</v>
      </c>
      <c r="AH407" s="17" t="s">
        <v>76</v>
      </c>
      <c r="AI407" s="17" t="s">
        <v>94</v>
      </c>
      <c r="AJ407" s="17" t="s">
        <v>73</v>
      </c>
      <c r="AK407" s="17" t="s">
        <v>84</v>
      </c>
      <c r="AL407" s="17" t="s">
        <v>96</v>
      </c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39"/>
      <c r="X408" s="17"/>
      <c r="Y408" s="40" t="str">
        <f t="array" ref="Y408:AMX408">IF('STANDAR RESEP'!A436="", "", TRANSPOSE(INDIRECT(SUBSTITUTE(SUBSTITUTE(SUBSTITUTE('STANDAR RESEP'!A436, " ", "_"), "(", ""), ")", ""))))</f>
        <v>Acar Bening Mentimun Wortel</v>
      </c>
      <c r="Z408" s="17" t="s">
        <v>101</v>
      </c>
      <c r="AA408" s="17" t="s">
        <v>98</v>
      </c>
      <c r="AB408" s="17" t="s">
        <v>91</v>
      </c>
      <c r="AC408" s="17" t="s">
        <v>83</v>
      </c>
      <c r="AD408" s="17" t="s">
        <v>80</v>
      </c>
      <c r="AE408" s="17" t="s">
        <v>86</v>
      </c>
      <c r="AF408" s="17" t="s">
        <v>78</v>
      </c>
      <c r="AG408" s="17" t="s">
        <v>89</v>
      </c>
      <c r="AH408" s="17" t="s">
        <v>76</v>
      </c>
      <c r="AI408" s="17" t="s">
        <v>94</v>
      </c>
      <c r="AJ408" s="17" t="s">
        <v>73</v>
      </c>
      <c r="AK408" s="17" t="s">
        <v>84</v>
      </c>
      <c r="AL408" s="17" t="s">
        <v>96</v>
      </c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39"/>
      <c r="X409" s="17"/>
      <c r="Y409" s="40" t="str">
        <f t="array" ref="Y409:AMX409">IF('STANDAR RESEP'!A437="", "", TRANSPOSE(INDIRECT(SUBSTITUTE(SUBSTITUTE(SUBSTITUTE('STANDAR RESEP'!A437, " ", "_"), "(", ""), ")", ""))))</f>
        <v>Acar Bening Mentimun Wortel</v>
      </c>
      <c r="Z409" s="17" t="s">
        <v>101</v>
      </c>
      <c r="AA409" s="17" t="s">
        <v>98</v>
      </c>
      <c r="AB409" s="17" t="s">
        <v>91</v>
      </c>
      <c r="AC409" s="17" t="s">
        <v>83</v>
      </c>
      <c r="AD409" s="17" t="s">
        <v>80</v>
      </c>
      <c r="AE409" s="17" t="s">
        <v>86</v>
      </c>
      <c r="AF409" s="17" t="s">
        <v>78</v>
      </c>
      <c r="AG409" s="17" t="s">
        <v>89</v>
      </c>
      <c r="AH409" s="17" t="s">
        <v>76</v>
      </c>
      <c r="AI409" s="17" t="s">
        <v>94</v>
      </c>
      <c r="AJ409" s="17" t="s">
        <v>73</v>
      </c>
      <c r="AK409" s="17" t="s">
        <v>84</v>
      </c>
      <c r="AL409" s="17" t="s">
        <v>96</v>
      </c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39"/>
      <c r="X410" s="17"/>
      <c r="Y410" s="40" t="str">
        <f t="array" ref="Y410:AMX410">IF('STANDAR RESEP'!A438="", "", TRANSPOSE(INDIRECT(SUBSTITUTE(SUBSTITUTE(SUBSTITUTE('STANDAR RESEP'!A438, " ", "_"), "(", ""), ")", ""))))</f>
        <v>Acar Bening Mentimun Wortel</v>
      </c>
      <c r="Z410" s="17" t="s">
        <v>101</v>
      </c>
      <c r="AA410" s="17" t="s">
        <v>98</v>
      </c>
      <c r="AB410" s="17" t="s">
        <v>91</v>
      </c>
      <c r="AC410" s="17" t="s">
        <v>83</v>
      </c>
      <c r="AD410" s="17" t="s">
        <v>80</v>
      </c>
      <c r="AE410" s="17" t="s">
        <v>86</v>
      </c>
      <c r="AF410" s="17" t="s">
        <v>78</v>
      </c>
      <c r="AG410" s="17" t="s">
        <v>89</v>
      </c>
      <c r="AH410" s="17" t="s">
        <v>76</v>
      </c>
      <c r="AI410" s="17" t="s">
        <v>94</v>
      </c>
      <c r="AJ410" s="17" t="s">
        <v>73</v>
      </c>
      <c r="AK410" s="17" t="s">
        <v>84</v>
      </c>
      <c r="AL410" s="17" t="s">
        <v>96</v>
      </c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39"/>
      <c r="X411" s="17"/>
      <c r="Y411" s="40" t="str">
        <f t="array" ref="Y411:AMX411">IF('STANDAR RESEP'!A439="", "", TRANSPOSE(INDIRECT(SUBSTITUTE(SUBSTITUTE(SUBSTITUTE('STANDAR RESEP'!A439, " ", "_"), "(", ""), ")", ""))))</f>
        <v>Acar Bening Mentimun Wortel</v>
      </c>
      <c r="Z411" s="17" t="s">
        <v>101</v>
      </c>
      <c r="AA411" s="17" t="s">
        <v>98</v>
      </c>
      <c r="AB411" s="17" t="s">
        <v>91</v>
      </c>
      <c r="AC411" s="17" t="s">
        <v>83</v>
      </c>
      <c r="AD411" s="17" t="s">
        <v>80</v>
      </c>
      <c r="AE411" s="17" t="s">
        <v>86</v>
      </c>
      <c r="AF411" s="17" t="s">
        <v>78</v>
      </c>
      <c r="AG411" s="17" t="s">
        <v>89</v>
      </c>
      <c r="AH411" s="17" t="s">
        <v>76</v>
      </c>
      <c r="AI411" s="17" t="s">
        <v>94</v>
      </c>
      <c r="AJ411" s="17" t="s">
        <v>73</v>
      </c>
      <c r="AK411" s="17" t="s">
        <v>84</v>
      </c>
      <c r="AL411" s="17" t="s">
        <v>96</v>
      </c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39"/>
      <c r="X412" s="17"/>
      <c r="Y412" s="40" t="str">
        <f t="array" ref="Y412:AMX412">IF('STANDAR RESEP'!A440="", "", TRANSPOSE(INDIRECT(SUBSTITUTE(SUBSTITUTE(SUBSTITUTE('STANDAR RESEP'!A440, " ", "_"), "(", ""), ")", ""))))</f>
        <v>Acar Bening Mentimun Wortel</v>
      </c>
      <c r="Z412" s="17" t="s">
        <v>101</v>
      </c>
      <c r="AA412" s="17" t="s">
        <v>98</v>
      </c>
      <c r="AB412" s="17" t="s">
        <v>91</v>
      </c>
      <c r="AC412" s="17" t="s">
        <v>83</v>
      </c>
      <c r="AD412" s="17" t="s">
        <v>80</v>
      </c>
      <c r="AE412" s="17" t="s">
        <v>86</v>
      </c>
      <c r="AF412" s="17" t="s">
        <v>78</v>
      </c>
      <c r="AG412" s="17" t="s">
        <v>89</v>
      </c>
      <c r="AH412" s="17" t="s">
        <v>76</v>
      </c>
      <c r="AI412" s="17" t="s">
        <v>94</v>
      </c>
      <c r="AJ412" s="17" t="s">
        <v>73</v>
      </c>
      <c r="AK412" s="17" t="s">
        <v>84</v>
      </c>
      <c r="AL412" s="17" t="s">
        <v>96</v>
      </c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39"/>
      <c r="X413" s="17"/>
      <c r="Y413" s="40" t="str">
        <f t="array" ref="Y413:AMX413">IF('STANDAR RESEP'!A441="", "", TRANSPOSE(INDIRECT(SUBSTITUTE(SUBSTITUTE(SUBSTITUTE('STANDAR RESEP'!A441, " ", "_"), "(", ""), ")", ""))))</f>
        <v>Acar Bening Mentimun Wortel</v>
      </c>
      <c r="Z413" s="17" t="s">
        <v>101</v>
      </c>
      <c r="AA413" s="17" t="s">
        <v>98</v>
      </c>
      <c r="AB413" s="17" t="s">
        <v>91</v>
      </c>
      <c r="AC413" s="17" t="s">
        <v>83</v>
      </c>
      <c r="AD413" s="17" t="s">
        <v>80</v>
      </c>
      <c r="AE413" s="17" t="s">
        <v>86</v>
      </c>
      <c r="AF413" s="17" t="s">
        <v>78</v>
      </c>
      <c r="AG413" s="17" t="s">
        <v>89</v>
      </c>
      <c r="AH413" s="17" t="s">
        <v>76</v>
      </c>
      <c r="AI413" s="17" t="s">
        <v>94</v>
      </c>
      <c r="AJ413" s="17" t="s">
        <v>73</v>
      </c>
      <c r="AK413" s="17" t="s">
        <v>84</v>
      </c>
      <c r="AL413" s="17" t="s">
        <v>96</v>
      </c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39"/>
      <c r="X414" s="17"/>
      <c r="Y414" s="40" t="str">
        <f t="array" ref="Y414:AMX414">IF('STANDAR RESEP'!A442="", "", TRANSPOSE(INDIRECT(SUBSTITUTE(SUBSTITUTE(SUBSTITUTE('STANDAR RESEP'!A442, " ", "_"), "(", ""), ")", ""))))</f>
        <v>Acar Bening Mentimun Wortel</v>
      </c>
      <c r="Z414" s="17" t="s">
        <v>101</v>
      </c>
      <c r="AA414" s="17" t="s">
        <v>98</v>
      </c>
      <c r="AB414" s="17" t="s">
        <v>91</v>
      </c>
      <c r="AC414" s="17" t="s">
        <v>83</v>
      </c>
      <c r="AD414" s="17" t="s">
        <v>80</v>
      </c>
      <c r="AE414" s="17" t="s">
        <v>86</v>
      </c>
      <c r="AF414" s="17" t="s">
        <v>78</v>
      </c>
      <c r="AG414" s="17" t="s">
        <v>89</v>
      </c>
      <c r="AH414" s="17" t="s">
        <v>76</v>
      </c>
      <c r="AI414" s="17" t="s">
        <v>94</v>
      </c>
      <c r="AJ414" s="17" t="s">
        <v>73</v>
      </c>
      <c r="AK414" s="17" t="s">
        <v>84</v>
      </c>
      <c r="AL414" s="17" t="s">
        <v>96</v>
      </c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39"/>
      <c r="X415" s="17"/>
      <c r="Y415" s="40" t="str">
        <f t="array" ref="Y415:AMX415">IF('STANDAR RESEP'!A443="", "", TRANSPOSE(INDIRECT(SUBSTITUTE(SUBSTITUTE(SUBSTITUTE('STANDAR RESEP'!A443, " ", "_"), "(", ""), ")", ""))))</f>
        <v>Acar Bening Mentimun Wortel</v>
      </c>
      <c r="Z415" s="17" t="s">
        <v>101</v>
      </c>
      <c r="AA415" s="17" t="s">
        <v>98</v>
      </c>
      <c r="AB415" s="17" t="s">
        <v>91</v>
      </c>
      <c r="AC415" s="17" t="s">
        <v>83</v>
      </c>
      <c r="AD415" s="17" t="s">
        <v>80</v>
      </c>
      <c r="AE415" s="17" t="s">
        <v>86</v>
      </c>
      <c r="AF415" s="17" t="s">
        <v>78</v>
      </c>
      <c r="AG415" s="17" t="s">
        <v>89</v>
      </c>
      <c r="AH415" s="17" t="s">
        <v>76</v>
      </c>
      <c r="AI415" s="17" t="s">
        <v>94</v>
      </c>
      <c r="AJ415" s="17" t="s">
        <v>73</v>
      </c>
      <c r="AK415" s="17" t="s">
        <v>84</v>
      </c>
      <c r="AL415" s="17" t="s">
        <v>96</v>
      </c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39"/>
      <c r="X416" s="17"/>
      <c r="Y416" s="40" t="str">
        <f t="array" ref="Y416:AMX416">IF('STANDAR RESEP'!A444="", "", TRANSPOSE(INDIRECT(SUBSTITUTE(SUBSTITUTE(SUBSTITUTE('STANDAR RESEP'!A444, " ", "_"), "(", ""), ")", ""))))</f>
        <v>Acar Bening Mentimun Wortel</v>
      </c>
      <c r="Z416" s="17" t="s">
        <v>101</v>
      </c>
      <c r="AA416" s="17" t="s">
        <v>98</v>
      </c>
      <c r="AB416" s="17" t="s">
        <v>91</v>
      </c>
      <c r="AC416" s="17" t="s">
        <v>83</v>
      </c>
      <c r="AD416" s="17" t="s">
        <v>80</v>
      </c>
      <c r="AE416" s="17" t="s">
        <v>86</v>
      </c>
      <c r="AF416" s="17" t="s">
        <v>78</v>
      </c>
      <c r="AG416" s="17" t="s">
        <v>89</v>
      </c>
      <c r="AH416" s="17" t="s">
        <v>76</v>
      </c>
      <c r="AI416" s="17" t="s">
        <v>94</v>
      </c>
      <c r="AJ416" s="17" t="s">
        <v>73</v>
      </c>
      <c r="AK416" s="17" t="s">
        <v>84</v>
      </c>
      <c r="AL416" s="17" t="s">
        <v>96</v>
      </c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39"/>
      <c r="X417" s="17"/>
      <c r="Y417" s="40" t="str">
        <f t="array" ref="Y417:AMX417">IF('STANDAR RESEP'!A445="", "", TRANSPOSE(INDIRECT(SUBSTITUTE(SUBSTITUTE(SUBSTITUTE('STANDAR RESEP'!A445, " ", "_"), "(", ""), ")", ""))))</f>
        <v>Acar Bening Mentimun Wortel</v>
      </c>
      <c r="Z417" s="17" t="s">
        <v>101</v>
      </c>
      <c r="AA417" s="17" t="s">
        <v>98</v>
      </c>
      <c r="AB417" s="17" t="s">
        <v>91</v>
      </c>
      <c r="AC417" s="17" t="s">
        <v>83</v>
      </c>
      <c r="AD417" s="17" t="s">
        <v>80</v>
      </c>
      <c r="AE417" s="17" t="s">
        <v>86</v>
      </c>
      <c r="AF417" s="17" t="s">
        <v>78</v>
      </c>
      <c r="AG417" s="17" t="s">
        <v>89</v>
      </c>
      <c r="AH417" s="17" t="s">
        <v>76</v>
      </c>
      <c r="AI417" s="17" t="s">
        <v>94</v>
      </c>
      <c r="AJ417" s="17" t="s">
        <v>73</v>
      </c>
      <c r="AK417" s="17" t="s">
        <v>84</v>
      </c>
      <c r="AL417" s="17" t="s">
        <v>96</v>
      </c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39"/>
      <c r="X418" s="17"/>
      <c r="Y418" s="40" t="str">
        <f t="array" ref="Y418:AMX418">IF('STANDAR RESEP'!A446="", "", TRANSPOSE(INDIRECT(SUBSTITUTE(SUBSTITUTE(SUBSTITUTE('STANDAR RESEP'!A446, " ", "_"), "(", ""), ")", ""))))</f>
        <v>Acar Bening Mentimun Wortel</v>
      </c>
      <c r="Z418" s="17" t="s">
        <v>101</v>
      </c>
      <c r="AA418" s="17" t="s">
        <v>98</v>
      </c>
      <c r="AB418" s="17" t="s">
        <v>91</v>
      </c>
      <c r="AC418" s="17" t="s">
        <v>83</v>
      </c>
      <c r="AD418" s="17" t="s">
        <v>80</v>
      </c>
      <c r="AE418" s="17" t="s">
        <v>86</v>
      </c>
      <c r="AF418" s="17" t="s">
        <v>78</v>
      </c>
      <c r="AG418" s="17" t="s">
        <v>89</v>
      </c>
      <c r="AH418" s="17" t="s">
        <v>76</v>
      </c>
      <c r="AI418" s="17" t="s">
        <v>94</v>
      </c>
      <c r="AJ418" s="17" t="s">
        <v>73</v>
      </c>
      <c r="AK418" s="17" t="s">
        <v>84</v>
      </c>
      <c r="AL418" s="17" t="s">
        <v>96</v>
      </c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39"/>
      <c r="X419" s="17"/>
      <c r="Y419" s="40" t="str">
        <f t="array" ref="Y419:AMX419">IF('STANDAR RESEP'!A447="", "", TRANSPOSE(INDIRECT(SUBSTITUTE(SUBSTITUTE(SUBSTITUTE('STANDAR RESEP'!A447, " ", "_"), "(", ""), ")", ""))))</f>
        <v>Acar Bening Mentimun Wortel</v>
      </c>
      <c r="Z419" s="17" t="s">
        <v>101</v>
      </c>
      <c r="AA419" s="17" t="s">
        <v>98</v>
      </c>
      <c r="AB419" s="17" t="s">
        <v>91</v>
      </c>
      <c r="AC419" s="17" t="s">
        <v>83</v>
      </c>
      <c r="AD419" s="17" t="s">
        <v>80</v>
      </c>
      <c r="AE419" s="17" t="s">
        <v>86</v>
      </c>
      <c r="AF419" s="17" t="s">
        <v>78</v>
      </c>
      <c r="AG419" s="17" t="s">
        <v>89</v>
      </c>
      <c r="AH419" s="17" t="s">
        <v>76</v>
      </c>
      <c r="AI419" s="17" t="s">
        <v>94</v>
      </c>
      <c r="AJ419" s="17" t="s">
        <v>73</v>
      </c>
      <c r="AK419" s="17" t="s">
        <v>84</v>
      </c>
      <c r="AL419" s="17" t="s">
        <v>96</v>
      </c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39"/>
      <c r="X420" s="17"/>
      <c r="Y420" s="40" t="str">
        <f t="array" ref="Y420:AMX420">IF('STANDAR RESEP'!A448="", "", TRANSPOSE(INDIRECT(SUBSTITUTE(SUBSTITUTE(SUBSTITUTE('STANDAR RESEP'!A448, " ", "_"), "(", ""), ")", ""))))</f>
        <v>Acar Bening Mentimun Wortel</v>
      </c>
      <c r="Z420" s="17" t="s">
        <v>101</v>
      </c>
      <c r="AA420" s="17" t="s">
        <v>98</v>
      </c>
      <c r="AB420" s="17" t="s">
        <v>91</v>
      </c>
      <c r="AC420" s="17" t="s">
        <v>83</v>
      </c>
      <c r="AD420" s="17" t="s">
        <v>80</v>
      </c>
      <c r="AE420" s="17" t="s">
        <v>86</v>
      </c>
      <c r="AF420" s="17" t="s">
        <v>78</v>
      </c>
      <c r="AG420" s="17" t="s">
        <v>89</v>
      </c>
      <c r="AH420" s="17" t="s">
        <v>76</v>
      </c>
      <c r="AI420" s="17" t="s">
        <v>94</v>
      </c>
      <c r="AJ420" s="17" t="s">
        <v>73</v>
      </c>
      <c r="AK420" s="17" t="s">
        <v>84</v>
      </c>
      <c r="AL420" s="17" t="s">
        <v>96</v>
      </c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39"/>
      <c r="X421" s="17"/>
      <c r="Y421" s="40" t="str">
        <f t="array" ref="Y421:AMX421">IF('STANDAR RESEP'!A449="", "", TRANSPOSE(INDIRECT(SUBSTITUTE(SUBSTITUTE(SUBSTITUTE('STANDAR RESEP'!A449, " ", "_"), "(", ""), ")", ""))))</f>
        <v>Acar Bening Mentimun Wortel</v>
      </c>
      <c r="Z421" s="17" t="s">
        <v>101</v>
      </c>
      <c r="AA421" s="17" t="s">
        <v>98</v>
      </c>
      <c r="AB421" s="17" t="s">
        <v>91</v>
      </c>
      <c r="AC421" s="17" t="s">
        <v>83</v>
      </c>
      <c r="AD421" s="17" t="s">
        <v>80</v>
      </c>
      <c r="AE421" s="17" t="s">
        <v>86</v>
      </c>
      <c r="AF421" s="17" t="s">
        <v>78</v>
      </c>
      <c r="AG421" s="17" t="s">
        <v>89</v>
      </c>
      <c r="AH421" s="17" t="s">
        <v>76</v>
      </c>
      <c r="AI421" s="17" t="s">
        <v>94</v>
      </c>
      <c r="AJ421" s="17" t="s">
        <v>73</v>
      </c>
      <c r="AK421" s="17" t="s">
        <v>84</v>
      </c>
      <c r="AL421" s="17" t="s">
        <v>96</v>
      </c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39"/>
      <c r="X422" s="17"/>
      <c r="Y422" s="40" t="str">
        <f t="array" ref="Y422:AMX422">IF('STANDAR RESEP'!A450="", "", TRANSPOSE(INDIRECT(SUBSTITUTE(SUBSTITUTE(SUBSTITUTE('STANDAR RESEP'!A450, " ", "_"), "(", ""), ")", ""))))</f>
        <v>Acar Bening Mentimun Wortel</v>
      </c>
      <c r="Z422" s="17" t="s">
        <v>101</v>
      </c>
      <c r="AA422" s="17" t="s">
        <v>98</v>
      </c>
      <c r="AB422" s="17" t="s">
        <v>91</v>
      </c>
      <c r="AC422" s="17" t="s">
        <v>83</v>
      </c>
      <c r="AD422" s="17" t="s">
        <v>80</v>
      </c>
      <c r="AE422" s="17" t="s">
        <v>86</v>
      </c>
      <c r="AF422" s="17" t="s">
        <v>78</v>
      </c>
      <c r="AG422" s="17" t="s">
        <v>89</v>
      </c>
      <c r="AH422" s="17" t="s">
        <v>76</v>
      </c>
      <c r="AI422" s="17" t="s">
        <v>94</v>
      </c>
      <c r="AJ422" s="17" t="s">
        <v>73</v>
      </c>
      <c r="AK422" s="17" t="s">
        <v>84</v>
      </c>
      <c r="AL422" s="17" t="s">
        <v>96</v>
      </c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39"/>
      <c r="X423" s="17"/>
      <c r="Y423" s="40" t="str">
        <f t="array" ref="Y423:AMX423">IF('STANDAR RESEP'!A451="", "", TRANSPOSE(INDIRECT(SUBSTITUTE(SUBSTITUTE(SUBSTITUTE('STANDAR RESEP'!A451, " ", "_"), "(", ""), ")", ""))))</f>
        <v>Acar Bening Mentimun Wortel</v>
      </c>
      <c r="Z423" s="17" t="s">
        <v>101</v>
      </c>
      <c r="AA423" s="17" t="s">
        <v>98</v>
      </c>
      <c r="AB423" s="17" t="s">
        <v>91</v>
      </c>
      <c r="AC423" s="17" t="s">
        <v>83</v>
      </c>
      <c r="AD423" s="17" t="s">
        <v>80</v>
      </c>
      <c r="AE423" s="17" t="s">
        <v>86</v>
      </c>
      <c r="AF423" s="17" t="s">
        <v>78</v>
      </c>
      <c r="AG423" s="17" t="s">
        <v>89</v>
      </c>
      <c r="AH423" s="17" t="s">
        <v>76</v>
      </c>
      <c r="AI423" s="17" t="s">
        <v>94</v>
      </c>
      <c r="AJ423" s="17" t="s">
        <v>73</v>
      </c>
      <c r="AK423" s="17" t="s">
        <v>84</v>
      </c>
      <c r="AL423" s="17" t="s">
        <v>96</v>
      </c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39"/>
      <c r="X424" s="17"/>
      <c r="Y424" s="40" t="str">
        <f t="array" ref="Y424:AMX424">IF('STANDAR RESEP'!A452="", "", TRANSPOSE(INDIRECT(SUBSTITUTE(SUBSTITUTE(SUBSTITUTE('STANDAR RESEP'!A452, " ", "_"), "(", ""), ")", ""))))</f>
        <v>Acar Bening Mentimun Wortel</v>
      </c>
      <c r="Z424" s="17" t="s">
        <v>101</v>
      </c>
      <c r="AA424" s="17" t="s">
        <v>98</v>
      </c>
      <c r="AB424" s="17" t="s">
        <v>91</v>
      </c>
      <c r="AC424" s="17" t="s">
        <v>83</v>
      </c>
      <c r="AD424" s="17" t="s">
        <v>80</v>
      </c>
      <c r="AE424" s="17" t="s">
        <v>86</v>
      </c>
      <c r="AF424" s="17" t="s">
        <v>78</v>
      </c>
      <c r="AG424" s="17" t="s">
        <v>89</v>
      </c>
      <c r="AH424" s="17" t="s">
        <v>76</v>
      </c>
      <c r="AI424" s="17" t="s">
        <v>94</v>
      </c>
      <c r="AJ424" s="17" t="s">
        <v>73</v>
      </c>
      <c r="AK424" s="17" t="s">
        <v>84</v>
      </c>
      <c r="AL424" s="17" t="s">
        <v>96</v>
      </c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39"/>
      <c r="X425" s="17"/>
      <c r="Y425" s="40" t="str">
        <f t="array" ref="Y425">IF('STANDAR RESEP'!A453="", "", TRANSPOSE(INDIRECT(SUBSTITUTE(SUBSTITUTE(SUBSTITUTE('STANDAR RESEP'!A453, " ", "_"), "(", ""), ")", ""))))</f>
        <v/>
      </c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39"/>
      <c r="X426" s="17"/>
      <c r="Y426" s="40" t="str">
        <f t="array" ref="Y426">IF('STANDAR RESEP'!A454="", "", TRANSPOSE(INDIRECT(SUBSTITUTE(SUBSTITUTE(SUBSTITUTE('STANDAR RESEP'!A454, " ", "_"), "(", ""), ")", ""))))</f>
        <v/>
      </c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39"/>
      <c r="X427" s="17"/>
      <c r="Y427" s="40" t="str">
        <f t="array" ref="Y427">IF('STANDAR RESEP'!A455="", "", TRANSPOSE(INDIRECT(SUBSTITUTE(SUBSTITUTE(SUBSTITUTE('STANDAR RESEP'!A455, " ", "_"), "(", ""), ")", ""))))</f>
        <v/>
      </c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39"/>
      <c r="X428" s="17"/>
      <c r="Y428" s="40" t="str">
        <f t="array" ref="Y428">IF('STANDAR RESEP'!A456="", "", TRANSPOSE(INDIRECT(SUBSTITUTE(SUBSTITUTE(SUBSTITUTE('STANDAR RESEP'!A456, " ", "_"), "(", ""), ")", ""))))</f>
        <v/>
      </c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39"/>
      <c r="X429" s="17"/>
      <c r="Y429" s="40" t="str">
        <f t="array" ref="Y429">IF('STANDAR RESEP'!A457="", "", TRANSPOSE(INDIRECT(SUBSTITUTE(SUBSTITUTE(SUBSTITUTE('STANDAR RESEP'!A457, " ", "_"), "(", ""), ")", ""))))</f>
        <v/>
      </c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39"/>
      <c r="X430" s="17"/>
      <c r="Y430" s="40" t="str">
        <f t="array" ref="Y430">IF('STANDAR RESEP'!A458="", "", TRANSPOSE(INDIRECT(SUBSTITUTE(SUBSTITUTE(SUBSTITUTE('STANDAR RESEP'!A458, " ", "_"), "(", ""), ")", ""))))</f>
        <v/>
      </c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39"/>
      <c r="X431" s="17"/>
      <c r="Y431" s="40" t="str">
        <f t="array" ref="Y431">IF('STANDAR RESEP'!A459="", "", TRANSPOSE(INDIRECT(SUBSTITUTE(SUBSTITUTE(SUBSTITUTE('STANDAR RESEP'!A459, " ", "_"), "(", ""), ")", ""))))</f>
        <v/>
      </c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39"/>
      <c r="X432" s="17"/>
      <c r="Y432" s="40" t="str">
        <f t="array" ref="Y432">IF('STANDAR RESEP'!A460="", "", TRANSPOSE(INDIRECT(SUBSTITUTE(SUBSTITUTE(SUBSTITUTE('STANDAR RESEP'!A460, " ", "_"), "(", ""), ")", ""))))</f>
        <v/>
      </c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39"/>
      <c r="X433" s="17"/>
      <c r="Y433" s="40" t="str">
        <f t="array" ref="Y433">IF('STANDAR RESEP'!A461="", "", TRANSPOSE(INDIRECT(SUBSTITUTE(SUBSTITUTE(SUBSTITUTE('STANDAR RESEP'!A461, " ", "_"), "(", ""), ")", ""))))</f>
        <v/>
      </c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39"/>
      <c r="X434" s="17"/>
      <c r="Y434" s="40" t="str">
        <f t="array" ref="Y434">IF('STANDAR RESEP'!A462="", "", TRANSPOSE(INDIRECT(SUBSTITUTE(SUBSTITUTE(SUBSTITUTE('STANDAR RESEP'!A462, " ", "_"), "(", ""), ")", ""))))</f>
        <v/>
      </c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39"/>
      <c r="X435" s="17"/>
      <c r="Y435" s="40" t="str">
        <f t="array" ref="Y435">IF('STANDAR RESEP'!A463="", "", TRANSPOSE(INDIRECT(SUBSTITUTE(SUBSTITUTE(SUBSTITUTE('STANDAR RESEP'!A463, " ", "_"), "(", ""), ")", ""))))</f>
        <v/>
      </c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39"/>
      <c r="X436" s="17"/>
      <c r="Y436" s="40" t="str">
        <f t="array" ref="Y436">IF('STANDAR RESEP'!A464="", "", TRANSPOSE(INDIRECT(SUBSTITUTE(SUBSTITUTE(SUBSTITUTE('STANDAR RESEP'!A464, " ", "_"), "(", ""), ")", ""))))</f>
        <v/>
      </c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39"/>
      <c r="X437" s="17"/>
      <c r="Y437" s="40" t="str">
        <f t="array" ref="Y437">IF('STANDAR RESEP'!A465="", "", TRANSPOSE(INDIRECT(SUBSTITUTE(SUBSTITUTE(SUBSTITUTE('STANDAR RESEP'!A465, " ", "_"), "(", ""), ")", ""))))</f>
        <v/>
      </c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39"/>
      <c r="X438" s="17"/>
      <c r="Y438" s="40" t="str">
        <f t="array" ref="Y438">IF('STANDAR RESEP'!A466="", "", TRANSPOSE(INDIRECT(SUBSTITUTE(SUBSTITUTE(SUBSTITUTE('STANDAR RESEP'!A466, " ", "_"), "(", ""), ")", ""))))</f>
        <v/>
      </c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39"/>
      <c r="X439" s="17"/>
      <c r="Y439" s="40" t="str">
        <f t="array" ref="Y439">IF('STANDAR RESEP'!A467="", "", TRANSPOSE(INDIRECT(SUBSTITUTE(SUBSTITUTE(SUBSTITUTE('STANDAR RESEP'!A467, " ", "_"), "(", ""), ")", ""))))</f>
        <v/>
      </c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39"/>
      <c r="X440" s="17"/>
      <c r="Y440" s="40" t="str">
        <f t="array" ref="Y440">IF('STANDAR RESEP'!A468="", "", TRANSPOSE(INDIRECT(SUBSTITUTE(SUBSTITUTE(SUBSTITUTE('STANDAR RESEP'!A468, " ", "_"), "(", ""), ")", ""))))</f>
        <v/>
      </c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39"/>
      <c r="X441" s="17"/>
      <c r="Y441" s="40" t="str">
        <f t="array" ref="Y441">IF('STANDAR RESEP'!A469="", "", TRANSPOSE(INDIRECT(SUBSTITUTE(SUBSTITUTE(SUBSTITUTE('STANDAR RESEP'!A469, " ", "_"), "(", ""), ")", ""))))</f>
        <v/>
      </c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39"/>
      <c r="X442" s="17"/>
      <c r="Y442" s="40" t="str">
        <f t="array" ref="Y442">IF('STANDAR RESEP'!A470="", "", TRANSPOSE(INDIRECT(SUBSTITUTE(SUBSTITUTE(SUBSTITUTE('STANDAR RESEP'!A470, " ", "_"), "(", ""), ")", ""))))</f>
        <v/>
      </c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39"/>
      <c r="X443" s="17"/>
      <c r="Y443" s="40" t="str">
        <f t="array" ref="Y443">IF('STANDAR RESEP'!A471="", "", TRANSPOSE(INDIRECT(SUBSTITUTE(SUBSTITUTE(SUBSTITUTE('STANDAR RESEP'!A471, " ", "_"), "(", ""), ")", ""))))</f>
        <v/>
      </c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39"/>
      <c r="X444" s="17"/>
      <c r="Y444" s="40" t="str">
        <f t="array" ref="Y444">IF('STANDAR RESEP'!A472="", "", TRANSPOSE(INDIRECT(SUBSTITUTE(SUBSTITUTE(SUBSTITUTE('STANDAR RESEP'!A472, " ", "_"), "(", ""), ")", ""))))</f>
        <v/>
      </c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39"/>
      <c r="X445" s="17"/>
      <c r="Y445" s="40" t="str">
        <f t="array" ref="Y445">IF('STANDAR RESEP'!A473="", "", TRANSPOSE(INDIRECT(SUBSTITUTE(SUBSTITUTE(SUBSTITUTE('STANDAR RESEP'!A473, " ", "_"), "(", ""), ")", ""))))</f>
        <v/>
      </c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39"/>
      <c r="X446" s="17"/>
      <c r="Y446" s="40" t="str">
        <f t="array" ref="Y446">IF('STANDAR RESEP'!A474="", "", TRANSPOSE(INDIRECT(SUBSTITUTE(SUBSTITUTE(SUBSTITUTE('STANDAR RESEP'!A474, " ", "_"), "(", ""), ")", ""))))</f>
        <v/>
      </c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39"/>
      <c r="X447" s="17"/>
      <c r="Y447" s="40" t="str">
        <f t="array" ref="Y447">IF('STANDAR RESEP'!A475="", "", TRANSPOSE(INDIRECT(SUBSTITUTE(SUBSTITUTE(SUBSTITUTE('STANDAR RESEP'!A475, " ", "_"), "(", ""), ")", ""))))</f>
        <v/>
      </c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39"/>
      <c r="X448" s="17"/>
      <c r="Y448" s="40" t="str">
        <f t="array" ref="Y448">IF('STANDAR RESEP'!A476="", "", TRANSPOSE(INDIRECT(SUBSTITUTE(SUBSTITUTE(SUBSTITUTE('STANDAR RESEP'!A476, " ", "_"), "(", ""), ")", ""))))</f>
        <v/>
      </c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39"/>
      <c r="X449" s="17"/>
      <c r="Y449" s="40" t="str">
        <f t="array" ref="Y449">IF('STANDAR RESEP'!A477="", "", TRANSPOSE(INDIRECT(SUBSTITUTE(SUBSTITUTE(SUBSTITUTE('STANDAR RESEP'!A477, " ", "_"), "(", ""), ")", ""))))</f>
        <v/>
      </c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39"/>
      <c r="X450" s="17"/>
      <c r="Y450" s="40" t="str">
        <f t="array" ref="Y450">IF('STANDAR RESEP'!A478="", "", TRANSPOSE(INDIRECT(SUBSTITUTE(SUBSTITUTE(SUBSTITUTE('STANDAR RESEP'!A478, " ", "_"), "(", ""), ")", ""))))</f>
        <v/>
      </c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39"/>
      <c r="X451" s="17"/>
      <c r="Y451" s="40" t="str">
        <f t="array" ref="Y451">IF('STANDAR RESEP'!A479="", "", TRANSPOSE(INDIRECT(SUBSTITUTE(SUBSTITUTE(SUBSTITUTE('STANDAR RESEP'!A479, " ", "_"), "(", ""), ")", ""))))</f>
        <v/>
      </c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39"/>
      <c r="X452" s="17"/>
      <c r="Y452" s="40" t="str">
        <f t="array" ref="Y452">IF('STANDAR RESEP'!A480="", "", TRANSPOSE(INDIRECT(SUBSTITUTE(SUBSTITUTE(SUBSTITUTE('STANDAR RESEP'!A480, " ", "_"), "(", ""), ")", ""))))</f>
        <v/>
      </c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39"/>
      <c r="X453" s="17"/>
      <c r="Y453" s="40" t="str">
        <f t="array" ref="Y453">IF('STANDAR RESEP'!A481="", "", TRANSPOSE(INDIRECT(SUBSTITUTE(SUBSTITUTE(SUBSTITUTE('STANDAR RESEP'!A481, " ", "_"), "(", ""), ")", ""))))</f>
        <v/>
      </c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39"/>
      <c r="X454" s="17"/>
      <c r="Y454" s="40" t="str">
        <f t="array" ref="Y454">IF('STANDAR RESEP'!A482="", "", TRANSPOSE(INDIRECT(SUBSTITUTE(SUBSTITUTE(SUBSTITUTE('STANDAR RESEP'!A482, " ", "_"), "(", ""), ")", ""))))</f>
        <v/>
      </c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39"/>
      <c r="X455" s="17"/>
      <c r="Y455" s="40" t="str">
        <f t="array" ref="Y455">IF('STANDAR RESEP'!A483="", "", TRANSPOSE(INDIRECT(SUBSTITUTE(SUBSTITUTE(SUBSTITUTE('STANDAR RESEP'!A483, " ", "_"), "(", ""), ")", ""))))</f>
        <v/>
      </c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39"/>
      <c r="X456" s="17"/>
      <c r="Y456" s="40" t="str">
        <f t="array" ref="Y456">IF('STANDAR RESEP'!A484="", "", TRANSPOSE(INDIRECT(SUBSTITUTE(SUBSTITUTE(SUBSTITUTE('STANDAR RESEP'!A484, " ", "_"), "(", ""), ")", ""))))</f>
        <v/>
      </c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39"/>
      <c r="X457" s="17"/>
      <c r="Y457" s="40" t="str">
        <f t="array" ref="Y457">IF('STANDAR RESEP'!A485="", "", TRANSPOSE(INDIRECT(SUBSTITUTE(SUBSTITUTE(SUBSTITUTE('STANDAR RESEP'!A485, " ", "_"), "(", ""), ")", ""))))</f>
        <v/>
      </c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39"/>
      <c r="X458" s="17"/>
      <c r="Y458" s="40" t="str">
        <f t="array" ref="Y458">IF('STANDAR RESEP'!A486="", "", TRANSPOSE(INDIRECT(SUBSTITUTE(SUBSTITUTE(SUBSTITUTE('STANDAR RESEP'!A486, " ", "_"), "(", ""), ")", ""))))</f>
        <v/>
      </c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39"/>
      <c r="X459" s="17"/>
      <c r="Y459" s="40" t="str">
        <f t="array" ref="Y459">IF('STANDAR RESEP'!A487="", "", TRANSPOSE(INDIRECT(SUBSTITUTE(SUBSTITUTE(SUBSTITUTE('STANDAR RESEP'!A487, " ", "_"), "(", ""), ")", ""))))</f>
        <v/>
      </c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39"/>
      <c r="X460" s="17"/>
      <c r="Y460" s="40" t="str">
        <f t="array" ref="Y460">IF('STANDAR RESEP'!A488="", "", TRANSPOSE(INDIRECT(SUBSTITUTE(SUBSTITUTE(SUBSTITUTE('STANDAR RESEP'!A488, " ", "_"), "(", ""), ")", ""))))</f>
        <v/>
      </c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39"/>
      <c r="X461" s="17"/>
      <c r="Y461" s="40" t="str">
        <f t="array" ref="Y461">IF('STANDAR RESEP'!A489="", "", TRANSPOSE(INDIRECT(SUBSTITUTE(SUBSTITUTE(SUBSTITUTE('STANDAR RESEP'!A489, " ", "_"), "(", ""), ")", ""))))</f>
        <v/>
      </c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39"/>
      <c r="X462" s="17"/>
      <c r="Y462" s="40" t="str">
        <f t="array" ref="Y462">IF('STANDAR RESEP'!A490="", "", TRANSPOSE(INDIRECT(SUBSTITUTE(SUBSTITUTE(SUBSTITUTE('STANDAR RESEP'!A490, " ", "_"), "(", ""), ")", ""))))</f>
        <v/>
      </c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39"/>
      <c r="X463" s="17"/>
      <c r="Y463" s="40" t="str">
        <f t="array" ref="Y463">IF('STANDAR RESEP'!A491="", "", TRANSPOSE(INDIRECT(SUBSTITUTE(SUBSTITUTE(SUBSTITUTE('STANDAR RESEP'!A491, " ", "_"), "(", ""), ")", ""))))</f>
        <v/>
      </c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39"/>
      <c r="X464" s="17"/>
      <c r="Y464" s="40" t="str">
        <f t="array" ref="Y464">IF('STANDAR RESEP'!A492="", "", TRANSPOSE(INDIRECT(SUBSTITUTE(SUBSTITUTE(SUBSTITUTE('STANDAR RESEP'!A492, " ", "_"), "(", ""), ")", ""))))</f>
        <v/>
      </c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39"/>
      <c r="X465" s="17"/>
      <c r="Y465" s="40" t="str">
        <f t="array" ref="Y465">IF('STANDAR RESEP'!A493="", "", TRANSPOSE(INDIRECT(SUBSTITUTE(SUBSTITUTE(SUBSTITUTE('STANDAR RESEP'!A493, " ", "_"), "(", ""), ")", ""))))</f>
        <v/>
      </c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39"/>
      <c r="X466" s="17"/>
      <c r="Y466" s="40" t="str">
        <f t="array" ref="Y466">IF('STANDAR RESEP'!A494="", "", TRANSPOSE(INDIRECT(SUBSTITUTE(SUBSTITUTE(SUBSTITUTE('STANDAR RESEP'!A494, " ", "_"), "(", ""), ")", ""))))</f>
        <v/>
      </c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39"/>
      <c r="X467" s="17"/>
      <c r="Y467" s="40" t="str">
        <f t="array" ref="Y467">IF('STANDAR RESEP'!A495="", "", TRANSPOSE(INDIRECT(SUBSTITUTE(SUBSTITUTE(SUBSTITUTE('STANDAR RESEP'!A495, " ", "_"), "(", ""), ")", ""))))</f>
        <v/>
      </c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39"/>
      <c r="X468" s="17"/>
      <c r="Y468" s="40" t="str">
        <f t="array" ref="Y468">IF('STANDAR RESEP'!A496="", "", TRANSPOSE(INDIRECT(SUBSTITUTE(SUBSTITUTE(SUBSTITUTE('STANDAR RESEP'!A496, " ", "_"), "(", ""), ")", ""))))</f>
        <v/>
      </c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39"/>
      <c r="X469" s="17"/>
      <c r="Y469" s="40" t="str">
        <f t="array" ref="Y469">IF('STANDAR RESEP'!A497="", "", TRANSPOSE(INDIRECT(SUBSTITUTE(SUBSTITUTE(SUBSTITUTE('STANDAR RESEP'!A497, " ", "_"), "(", ""), ")", ""))))</f>
        <v/>
      </c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39"/>
      <c r="X470" s="17"/>
      <c r="Y470" s="40" t="str">
        <f t="array" ref="Y470">IF('STANDAR RESEP'!A498="", "", TRANSPOSE(INDIRECT(SUBSTITUTE(SUBSTITUTE(SUBSTITUTE('STANDAR RESEP'!A498, " ", "_"), "(", ""), ")", ""))))</f>
        <v/>
      </c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39"/>
      <c r="X471" s="17"/>
      <c r="Y471" s="40" t="str">
        <f t="array" ref="Y471">IF('STANDAR RESEP'!A499="", "", TRANSPOSE(INDIRECT(SUBSTITUTE(SUBSTITUTE(SUBSTITUTE('STANDAR RESEP'!A499, " ", "_"), "(", ""), ")", ""))))</f>
        <v/>
      </c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39"/>
      <c r="X472" s="17"/>
      <c r="Y472" s="40" t="str">
        <f t="array" ref="Y472">IF('STANDAR RESEP'!A500="", "", TRANSPOSE(INDIRECT(SUBSTITUTE(SUBSTITUTE(SUBSTITUTE('STANDAR RESEP'!A500, " ", "_"), "(", ""), ")", ""))))</f>
        <v/>
      </c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39"/>
      <c r="X473" s="17"/>
      <c r="Y473" s="40" t="str">
        <f t="array" ref="Y473">IF('STANDAR RESEP'!A501="", "", TRANSPOSE(INDIRECT(SUBSTITUTE(SUBSTITUTE(SUBSTITUTE('STANDAR RESEP'!A501, " ", "_"), "(", ""), ")", ""))))</f>
        <v/>
      </c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39"/>
      <c r="X474" s="17"/>
      <c r="Y474" s="40" t="str">
        <f t="array" ref="Y474">IF('STANDAR RESEP'!A502="", "", TRANSPOSE(INDIRECT(SUBSTITUTE(SUBSTITUTE(SUBSTITUTE('STANDAR RESEP'!A502, " ", "_"), "(", ""), ")", ""))))</f>
        <v/>
      </c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39"/>
      <c r="X475" s="17"/>
      <c r="Y475" s="40" t="str">
        <f t="array" ref="Y475">IF('STANDAR RESEP'!A503="", "", TRANSPOSE(INDIRECT(SUBSTITUTE(SUBSTITUTE(SUBSTITUTE('STANDAR RESEP'!A503, " ", "_"), "(", ""), ")", ""))))</f>
        <v/>
      </c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39"/>
      <c r="X476" s="17"/>
      <c r="Y476" s="40" t="str">
        <f t="array" ref="Y476">IF('STANDAR RESEP'!A504="", "", TRANSPOSE(INDIRECT(SUBSTITUTE(SUBSTITUTE(SUBSTITUTE('STANDAR RESEP'!A504, " ", "_"), "(", ""), ")", ""))))</f>
        <v/>
      </c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39"/>
      <c r="X477" s="17"/>
      <c r="Y477" s="40" t="str">
        <f t="array" ref="Y477">IF('STANDAR RESEP'!A505="", "", TRANSPOSE(INDIRECT(SUBSTITUTE(SUBSTITUTE(SUBSTITUTE('STANDAR RESEP'!A505, " ", "_"), "(", ""), ")", ""))))</f>
        <v/>
      </c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39"/>
      <c r="X478" s="17"/>
      <c r="Y478" s="40" t="str">
        <f t="array" ref="Y478">IF('STANDAR RESEP'!A506="", "", TRANSPOSE(INDIRECT(SUBSTITUTE(SUBSTITUTE(SUBSTITUTE('STANDAR RESEP'!A506, " ", "_"), "(", ""), ")", ""))))</f>
        <v/>
      </c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39"/>
      <c r="X479" s="17"/>
      <c r="Y479" s="40" t="str">
        <f t="array" ref="Y479">IF('STANDAR RESEP'!A507="", "", TRANSPOSE(INDIRECT(SUBSTITUTE(SUBSTITUTE(SUBSTITUTE('STANDAR RESEP'!A507, " ", "_"), "(", ""), ")", ""))))</f>
        <v/>
      </c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39"/>
      <c r="X480" s="17"/>
      <c r="Y480" s="40" t="str">
        <f t="array" ref="Y480">IF('STANDAR RESEP'!A508="", "", TRANSPOSE(INDIRECT(SUBSTITUTE(SUBSTITUTE(SUBSTITUTE('STANDAR RESEP'!A508, " ", "_"), "(", ""), ")", ""))))</f>
        <v/>
      </c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39"/>
      <c r="X481" s="17"/>
      <c r="Y481" s="40" t="str">
        <f t="array" ref="Y481">IF('STANDAR RESEP'!A509="", "", TRANSPOSE(INDIRECT(SUBSTITUTE(SUBSTITUTE(SUBSTITUTE('STANDAR RESEP'!A509, " ", "_"), "(", ""), ")", ""))))</f>
        <v/>
      </c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39"/>
      <c r="X482" s="17"/>
      <c r="Y482" s="40" t="str">
        <f t="array" ref="Y482">IF('STANDAR RESEP'!A510="", "", TRANSPOSE(INDIRECT(SUBSTITUTE(SUBSTITUTE(SUBSTITUTE('STANDAR RESEP'!A510, " ", "_"), "(", ""), ")", ""))))</f>
        <v/>
      </c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39"/>
      <c r="X483" s="17"/>
      <c r="Y483" s="40" t="str">
        <f t="array" ref="Y483">IF('STANDAR RESEP'!A511="", "", TRANSPOSE(INDIRECT(SUBSTITUTE(SUBSTITUTE(SUBSTITUTE('STANDAR RESEP'!A511, " ", "_"), "(", ""), ")", ""))))</f>
        <v/>
      </c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39"/>
      <c r="X484" s="17"/>
      <c r="Y484" s="40" t="str">
        <f t="array" ref="Y484">IF('STANDAR RESEP'!A512="", "", TRANSPOSE(INDIRECT(SUBSTITUTE(SUBSTITUTE(SUBSTITUTE('STANDAR RESEP'!A512, " ", "_"), "(", ""), ")", ""))))</f>
        <v/>
      </c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39"/>
      <c r="X485" s="17"/>
      <c r="Y485" s="40" t="str">
        <f t="array" ref="Y485">IF('STANDAR RESEP'!A513="", "", TRANSPOSE(INDIRECT(SUBSTITUTE(SUBSTITUTE(SUBSTITUTE('STANDAR RESEP'!A513, " ", "_"), "(", ""), ")", ""))))</f>
        <v/>
      </c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39"/>
      <c r="X486" s="17"/>
      <c r="Y486" s="40" t="str">
        <f t="array" ref="Y486">IF('STANDAR RESEP'!A514="", "", TRANSPOSE(INDIRECT(SUBSTITUTE(SUBSTITUTE(SUBSTITUTE('STANDAR RESEP'!A514, " ", "_"), "(", ""), ")", ""))))</f>
        <v/>
      </c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39"/>
      <c r="X487" s="17"/>
      <c r="Y487" s="40" t="str">
        <f t="array" ref="Y487">IF('STANDAR RESEP'!A515="", "", TRANSPOSE(INDIRECT(SUBSTITUTE(SUBSTITUTE(SUBSTITUTE('STANDAR RESEP'!A515, " ", "_"), "(", ""), ")", ""))))</f>
        <v/>
      </c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39"/>
      <c r="X488" s="17"/>
      <c r="Y488" s="40" t="str">
        <f t="array" ref="Y488">IF('STANDAR RESEP'!A516="", "", TRANSPOSE(INDIRECT(SUBSTITUTE(SUBSTITUTE(SUBSTITUTE('STANDAR RESEP'!A516, " ", "_"), "(", ""), ")", ""))))</f>
        <v/>
      </c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39"/>
      <c r="X489" s="17"/>
      <c r="Y489" s="40" t="str">
        <f t="array" ref="Y489">IF('STANDAR RESEP'!A517="", "", TRANSPOSE(INDIRECT(SUBSTITUTE(SUBSTITUTE(SUBSTITUTE('STANDAR RESEP'!A517, " ", "_"), "(", ""), ")", ""))))</f>
        <v/>
      </c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39"/>
      <c r="X490" s="17"/>
      <c r="Y490" s="40" t="str">
        <f t="array" ref="Y490">IF('STANDAR RESEP'!A518="", "", TRANSPOSE(INDIRECT(SUBSTITUTE(SUBSTITUTE(SUBSTITUTE('STANDAR RESEP'!A518, " ", "_"), "(", ""), ")", ""))))</f>
        <v/>
      </c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39"/>
      <c r="X491" s="17"/>
      <c r="Y491" s="40" t="str">
        <f t="array" ref="Y491">IF('STANDAR RESEP'!A519="", "", TRANSPOSE(INDIRECT(SUBSTITUTE(SUBSTITUTE(SUBSTITUTE('STANDAR RESEP'!A519, " ", "_"), "(", ""), ")", ""))))</f>
        <v/>
      </c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39"/>
      <c r="X492" s="17"/>
      <c r="Y492" s="40" t="str">
        <f t="array" ref="Y492">IF('STANDAR RESEP'!A520="", "", TRANSPOSE(INDIRECT(SUBSTITUTE(SUBSTITUTE(SUBSTITUTE('STANDAR RESEP'!A520, " ", "_"), "(", ""), ")", ""))))</f>
        <v/>
      </c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39"/>
      <c r="X493" s="17"/>
      <c r="Y493" s="40" t="str">
        <f t="array" ref="Y493">IF('STANDAR RESEP'!A521="", "", TRANSPOSE(INDIRECT(SUBSTITUTE(SUBSTITUTE(SUBSTITUTE('STANDAR RESEP'!A521, " ", "_"), "(", ""), ")", ""))))</f>
        <v/>
      </c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39"/>
      <c r="X494" s="17"/>
      <c r="Y494" s="40" t="str">
        <f t="array" ref="Y494">IF('STANDAR RESEP'!A522="", "", TRANSPOSE(INDIRECT(SUBSTITUTE(SUBSTITUTE(SUBSTITUTE('STANDAR RESEP'!A522, " ", "_"), "(", ""), ")", ""))))</f>
        <v/>
      </c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39"/>
      <c r="X495" s="17"/>
      <c r="Y495" s="40" t="str">
        <f t="array" ref="Y495">IF('STANDAR RESEP'!A523="", "", TRANSPOSE(INDIRECT(SUBSTITUTE(SUBSTITUTE(SUBSTITUTE('STANDAR RESEP'!A523, " ", "_"), "(", ""), ")", ""))))</f>
        <v/>
      </c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39"/>
      <c r="X496" s="17"/>
      <c r="Y496" s="40" t="str">
        <f t="array" ref="Y496">IF('STANDAR RESEP'!A524="", "", TRANSPOSE(INDIRECT(SUBSTITUTE(SUBSTITUTE(SUBSTITUTE('STANDAR RESEP'!A524, " ", "_"), "(", ""), ")", ""))))</f>
        <v/>
      </c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39"/>
      <c r="X497" s="17"/>
      <c r="Y497" s="40" t="str">
        <f t="array" ref="Y497">IF('STANDAR RESEP'!A525="", "", TRANSPOSE(INDIRECT(SUBSTITUTE(SUBSTITUTE(SUBSTITUTE('STANDAR RESEP'!A525, " ", "_"), "(", ""), ")", ""))))</f>
        <v/>
      </c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39"/>
      <c r="X498" s="17"/>
      <c r="Y498" s="40" t="str">
        <f t="array" ref="Y498">IF('STANDAR RESEP'!A526="", "", TRANSPOSE(INDIRECT(SUBSTITUTE(SUBSTITUTE(SUBSTITUTE('STANDAR RESEP'!A526, " ", "_"), "(", ""), ")", ""))))</f>
        <v/>
      </c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39"/>
      <c r="X499" s="17"/>
      <c r="Y499" s="40" t="str">
        <f t="array" ref="Y499">IF('STANDAR RESEP'!A527="", "", TRANSPOSE(INDIRECT(SUBSTITUTE(SUBSTITUTE(SUBSTITUTE('STANDAR RESEP'!A527, " ", "_"), "(", ""), ")", ""))))</f>
        <v/>
      </c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39"/>
      <c r="X500" s="17"/>
      <c r="Y500" s="40" t="str">
        <f t="array" ref="Y500">IF('STANDAR RESEP'!A528="", "", TRANSPOSE(INDIRECT(SUBSTITUTE(SUBSTITUTE(SUBSTITUTE('STANDAR RESEP'!A528, " ", "_"), "(", ""), ")", ""))))</f>
        <v/>
      </c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39"/>
      <c r="X501" s="17"/>
      <c r="Y501" s="40" t="str">
        <f t="array" ref="Y501">IF('STANDAR RESEP'!A529="", "", TRANSPOSE(INDIRECT(SUBSTITUTE(SUBSTITUTE(SUBSTITUTE('STANDAR RESEP'!A529, " ", "_"), "(", ""), ")", ""))))</f>
        <v/>
      </c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39"/>
      <c r="X502" s="17"/>
      <c r="Y502" s="40" t="str">
        <f t="array" ref="Y502">IF('STANDAR RESEP'!A530="", "", TRANSPOSE(INDIRECT(SUBSTITUTE(SUBSTITUTE(SUBSTITUTE('STANDAR RESEP'!A530, " ", "_"), "(", ""), ")", ""))))</f>
        <v/>
      </c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39"/>
      <c r="X503" s="17"/>
      <c r="Y503" s="40" t="str">
        <f t="array" ref="Y503">IF('STANDAR RESEP'!A531="", "", TRANSPOSE(INDIRECT(SUBSTITUTE(SUBSTITUTE(SUBSTITUTE('STANDAR RESEP'!A531, " ", "_"), "(", ""), ")", ""))))</f>
        <v/>
      </c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39"/>
      <c r="X504" s="17"/>
      <c r="Y504" s="40" t="str">
        <f t="array" ref="Y504">IF('STANDAR RESEP'!A532="", "", TRANSPOSE(INDIRECT(SUBSTITUTE(SUBSTITUTE(SUBSTITUTE('STANDAR RESEP'!A532, " ", "_"), "(", ""), ")", ""))))</f>
        <v/>
      </c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39"/>
      <c r="X505" s="17"/>
      <c r="Y505" s="40" t="str">
        <f t="array" ref="Y505">IF('STANDAR RESEP'!A533="", "", TRANSPOSE(INDIRECT(SUBSTITUTE(SUBSTITUTE(SUBSTITUTE('STANDAR RESEP'!A533, " ", "_"), "(", ""), ")", ""))))</f>
        <v/>
      </c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39"/>
      <c r="X506" s="17"/>
      <c r="Y506" s="40" t="str">
        <f t="array" ref="Y506">IF('STANDAR RESEP'!A534="", "", TRANSPOSE(INDIRECT(SUBSTITUTE(SUBSTITUTE(SUBSTITUTE('STANDAR RESEP'!A534, " ", "_"), "(", ""), ")", ""))))</f>
        <v/>
      </c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39"/>
      <c r="X507" s="17"/>
      <c r="Y507" s="40" t="str">
        <f t="array" ref="Y507">IF('STANDAR RESEP'!A535="", "", TRANSPOSE(INDIRECT(SUBSTITUTE(SUBSTITUTE(SUBSTITUTE('STANDAR RESEP'!A535, " ", "_"), "(", ""), ")", ""))))</f>
        <v/>
      </c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39"/>
      <c r="X508" s="17"/>
      <c r="Y508" s="40" t="str">
        <f t="array" ref="Y508">IF('STANDAR RESEP'!A536="", "", TRANSPOSE(INDIRECT(SUBSTITUTE(SUBSTITUTE(SUBSTITUTE('STANDAR RESEP'!A536, " ", "_"), "(", ""), ")", ""))))</f>
        <v/>
      </c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39"/>
      <c r="X509" s="17"/>
      <c r="Y509" s="40" t="str">
        <f t="array" ref="Y509">IF('STANDAR RESEP'!A537="", "", TRANSPOSE(INDIRECT(SUBSTITUTE(SUBSTITUTE(SUBSTITUTE('STANDAR RESEP'!A537, " ", "_"), "(", ""), ")", ""))))</f>
        <v/>
      </c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39"/>
      <c r="X510" s="17"/>
      <c r="Y510" s="40" t="str">
        <f t="array" ref="Y510">IF('STANDAR RESEP'!A538="", "", TRANSPOSE(INDIRECT(SUBSTITUTE(SUBSTITUTE(SUBSTITUTE('STANDAR RESEP'!A538, " ", "_"), "(", ""), ")", ""))))</f>
        <v/>
      </c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39"/>
      <c r="X511" s="17"/>
      <c r="Y511" s="40" t="str">
        <f t="array" ref="Y511">IF('STANDAR RESEP'!A539="", "", TRANSPOSE(INDIRECT(SUBSTITUTE(SUBSTITUTE(SUBSTITUTE('STANDAR RESEP'!A539, " ", "_"), "(", ""), ")", ""))))</f>
        <v/>
      </c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39"/>
      <c r="X512" s="17"/>
      <c r="Y512" s="40" t="str">
        <f t="array" ref="Y512">IF('STANDAR RESEP'!A540="", "", TRANSPOSE(INDIRECT(SUBSTITUTE(SUBSTITUTE(SUBSTITUTE('STANDAR RESEP'!A540, " ", "_"), "(", ""), ")", ""))))</f>
        <v/>
      </c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39"/>
      <c r="X513" s="17"/>
      <c r="Y513" s="40" t="str">
        <f t="array" ref="Y513">IF('STANDAR RESEP'!A541="", "", TRANSPOSE(INDIRECT(SUBSTITUTE(SUBSTITUTE(SUBSTITUTE('STANDAR RESEP'!A541, " ", "_"), "(", ""), ")", ""))))</f>
        <v/>
      </c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39"/>
      <c r="X514" s="17"/>
      <c r="Y514" s="40" t="str">
        <f t="array" ref="Y514">IF('STANDAR RESEP'!A542="", "", TRANSPOSE(INDIRECT(SUBSTITUTE(SUBSTITUTE(SUBSTITUTE('STANDAR RESEP'!A542, " ", "_"), "(", ""), ")", ""))))</f>
        <v/>
      </c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39"/>
      <c r="X515" s="17"/>
      <c r="Y515" s="40" t="str">
        <f t="array" ref="Y515">IF('STANDAR RESEP'!A543="", "", TRANSPOSE(INDIRECT(SUBSTITUTE(SUBSTITUTE(SUBSTITUTE('STANDAR RESEP'!A543, " ", "_"), "(", ""), ")", ""))))</f>
        <v/>
      </c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39"/>
      <c r="X516" s="17"/>
      <c r="Y516" s="40" t="str">
        <f t="array" ref="Y516">IF('STANDAR RESEP'!A544="", "", TRANSPOSE(INDIRECT(SUBSTITUTE(SUBSTITUTE(SUBSTITUTE('STANDAR RESEP'!A544, " ", "_"), "(", ""), ")", ""))))</f>
        <v/>
      </c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39"/>
      <c r="X517" s="17"/>
      <c r="Y517" s="40" t="str">
        <f t="array" ref="Y517">IF('STANDAR RESEP'!A545="", "", TRANSPOSE(INDIRECT(SUBSTITUTE(SUBSTITUTE(SUBSTITUTE('STANDAR RESEP'!A545, " ", "_"), "(", ""), ")", ""))))</f>
        <v/>
      </c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39"/>
      <c r="X518" s="17"/>
      <c r="Y518" s="40" t="str">
        <f t="array" ref="Y518">IF('STANDAR RESEP'!A546="", "", TRANSPOSE(INDIRECT(SUBSTITUTE(SUBSTITUTE(SUBSTITUTE('STANDAR RESEP'!A546, " ", "_"), "(", ""), ")", ""))))</f>
        <v/>
      </c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39"/>
      <c r="X519" s="17"/>
      <c r="Y519" s="40" t="str">
        <f t="array" ref="Y519">IF('STANDAR RESEP'!A547="", "", TRANSPOSE(INDIRECT(SUBSTITUTE(SUBSTITUTE(SUBSTITUTE('STANDAR RESEP'!A547, " ", "_"), "(", ""), ")", ""))))</f>
        <v/>
      </c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39"/>
      <c r="X520" s="17"/>
      <c r="Y520" s="40" t="str">
        <f t="array" ref="Y520">IF('STANDAR RESEP'!A548="", "", TRANSPOSE(INDIRECT(SUBSTITUTE(SUBSTITUTE(SUBSTITUTE('STANDAR RESEP'!A548, " ", "_"), "(", ""), ")", ""))))</f>
        <v/>
      </c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39"/>
      <c r="X521" s="17"/>
      <c r="Y521" s="40" t="str">
        <f t="array" ref="Y521">IF('STANDAR RESEP'!A549="", "", TRANSPOSE(INDIRECT(SUBSTITUTE(SUBSTITUTE(SUBSTITUTE('STANDAR RESEP'!A549, " ", "_"), "(", ""), ")", ""))))</f>
        <v/>
      </c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39"/>
      <c r="X522" s="17"/>
      <c r="Y522" s="40" t="str">
        <f t="array" ref="Y522">IF('STANDAR RESEP'!A550="", "", TRANSPOSE(INDIRECT(SUBSTITUTE(SUBSTITUTE(SUBSTITUTE('STANDAR RESEP'!A550, " ", "_"), "(", ""), ")", ""))))</f>
        <v/>
      </c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39"/>
      <c r="X523" s="17"/>
      <c r="Y523" s="40" t="str">
        <f t="array" ref="Y523">IF('STANDAR RESEP'!A551="", "", TRANSPOSE(INDIRECT(SUBSTITUTE(SUBSTITUTE(SUBSTITUTE('STANDAR RESEP'!A551, " ", "_"), "(", ""), ")", ""))))</f>
        <v/>
      </c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39"/>
      <c r="X524" s="17"/>
      <c r="Y524" s="40" t="str">
        <f t="array" ref="Y524">IF('STANDAR RESEP'!A552="", "", TRANSPOSE(INDIRECT(SUBSTITUTE(SUBSTITUTE(SUBSTITUTE('STANDAR RESEP'!A552, " ", "_"), "(", ""), ")", ""))))</f>
        <v/>
      </c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39"/>
      <c r="X525" s="17"/>
      <c r="Y525" s="40" t="str">
        <f t="array" ref="Y525">IF('STANDAR RESEP'!A553="", "", TRANSPOSE(INDIRECT(SUBSTITUTE(SUBSTITUTE(SUBSTITUTE('STANDAR RESEP'!A553, " ", "_"), "(", ""), ")", ""))))</f>
        <v/>
      </c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39"/>
      <c r="X526" s="17"/>
      <c r="Y526" s="40" t="str">
        <f t="array" ref="Y526">IF('STANDAR RESEP'!A554="", "", TRANSPOSE(INDIRECT(SUBSTITUTE(SUBSTITUTE(SUBSTITUTE('STANDAR RESEP'!A554, " ", "_"), "(", ""), ")", ""))))</f>
        <v/>
      </c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39"/>
      <c r="X527" s="17"/>
      <c r="Y527" s="40" t="str">
        <f t="array" ref="Y527">IF('STANDAR RESEP'!A555="", "", TRANSPOSE(INDIRECT(SUBSTITUTE(SUBSTITUTE(SUBSTITUTE('STANDAR RESEP'!A555, " ", "_"), "(", ""), ")", ""))))</f>
        <v/>
      </c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39"/>
      <c r="X528" s="17"/>
      <c r="Y528" s="40" t="str">
        <f t="array" ref="Y528">IF('STANDAR RESEP'!A556="", "", TRANSPOSE(INDIRECT(SUBSTITUTE(SUBSTITUTE(SUBSTITUTE('STANDAR RESEP'!A556, " ", "_"), "(", ""), ")", ""))))</f>
        <v/>
      </c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39"/>
      <c r="X529" s="17"/>
      <c r="Y529" s="40" t="str">
        <f t="array" ref="Y529">IF('STANDAR RESEP'!A557="", "", TRANSPOSE(INDIRECT(SUBSTITUTE(SUBSTITUTE(SUBSTITUTE('STANDAR RESEP'!A557, " ", "_"), "(", ""), ")", ""))))</f>
        <v/>
      </c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39"/>
      <c r="X530" s="17"/>
      <c r="Y530" s="40" t="str">
        <f t="array" ref="Y530">IF('STANDAR RESEP'!A558="", "", TRANSPOSE(INDIRECT(SUBSTITUTE(SUBSTITUTE(SUBSTITUTE('STANDAR RESEP'!A558, " ", "_"), "(", ""), ")", ""))))</f>
        <v/>
      </c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39"/>
      <c r="X531" s="17"/>
      <c r="Y531" s="40" t="str">
        <f t="array" ref="Y531">IF('STANDAR RESEP'!A559="", "", TRANSPOSE(INDIRECT(SUBSTITUTE(SUBSTITUTE(SUBSTITUTE('STANDAR RESEP'!A559, " ", "_"), "(", ""), ")", ""))))</f>
        <v/>
      </c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39"/>
      <c r="X532" s="17"/>
      <c r="Y532" s="40" t="str">
        <f t="array" ref="Y532">IF('STANDAR RESEP'!A560="", "", TRANSPOSE(INDIRECT(SUBSTITUTE(SUBSTITUTE(SUBSTITUTE('STANDAR RESEP'!A560, " ", "_"), "(", ""), ")", ""))))</f>
        <v/>
      </c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39"/>
      <c r="X533" s="17"/>
      <c r="Y533" s="40" t="str">
        <f t="array" ref="Y533">IF('STANDAR RESEP'!A561="", "", TRANSPOSE(INDIRECT(SUBSTITUTE(SUBSTITUTE(SUBSTITUTE('STANDAR RESEP'!A561, " ", "_"), "(", ""), ")", ""))))</f>
        <v/>
      </c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39"/>
      <c r="X534" s="17"/>
      <c r="Y534" s="40" t="str">
        <f t="array" ref="Y534">IF('STANDAR RESEP'!A562="", "", TRANSPOSE(INDIRECT(SUBSTITUTE(SUBSTITUTE(SUBSTITUTE('STANDAR RESEP'!A562, " ", "_"), "(", ""), ")", ""))))</f>
        <v/>
      </c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39"/>
      <c r="X535" s="17"/>
      <c r="Y535" s="40" t="str">
        <f t="array" ref="Y535">IF('STANDAR RESEP'!A563="", "", TRANSPOSE(INDIRECT(SUBSTITUTE(SUBSTITUTE(SUBSTITUTE('STANDAR RESEP'!A563, " ", "_"), "(", ""), ")", ""))))</f>
        <v/>
      </c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39"/>
      <c r="X536" s="17"/>
      <c r="Y536" s="40" t="str">
        <f t="array" ref="Y536">IF('STANDAR RESEP'!A564="", "", TRANSPOSE(INDIRECT(SUBSTITUTE(SUBSTITUTE(SUBSTITUTE('STANDAR RESEP'!A564, " ", "_"), "(", ""), ")", ""))))</f>
        <v/>
      </c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39"/>
      <c r="X537" s="17"/>
      <c r="Y537" s="40" t="str">
        <f t="array" ref="Y537">IF('STANDAR RESEP'!A565="", "", TRANSPOSE(INDIRECT(SUBSTITUTE(SUBSTITUTE(SUBSTITUTE('STANDAR RESEP'!A565, " ", "_"), "(", ""), ")", ""))))</f>
        <v/>
      </c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39"/>
      <c r="X538" s="17"/>
      <c r="Y538" s="40" t="str">
        <f t="array" ref="Y538">IF('STANDAR RESEP'!A566="", "", TRANSPOSE(INDIRECT(SUBSTITUTE(SUBSTITUTE(SUBSTITUTE('STANDAR RESEP'!A566, " ", "_"), "(", ""), ")", ""))))</f>
        <v/>
      </c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39"/>
      <c r="X539" s="17"/>
      <c r="Y539" s="40" t="str">
        <f t="array" ref="Y539">IF('STANDAR RESEP'!A567="", "", TRANSPOSE(INDIRECT(SUBSTITUTE(SUBSTITUTE(SUBSTITUTE('STANDAR RESEP'!A567, " ", "_"), "(", ""), ")", ""))))</f>
        <v/>
      </c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39"/>
      <c r="X540" s="17"/>
      <c r="Y540" s="40" t="str">
        <f t="array" ref="Y540">IF('STANDAR RESEP'!A568="", "", TRANSPOSE(INDIRECT(SUBSTITUTE(SUBSTITUTE(SUBSTITUTE('STANDAR RESEP'!A568, " ", "_"), "(", ""), ")", ""))))</f>
        <v/>
      </c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39"/>
      <c r="X541" s="17"/>
      <c r="Y541" s="40" t="str">
        <f t="array" ref="Y541">IF('STANDAR RESEP'!A569="", "", TRANSPOSE(INDIRECT(SUBSTITUTE(SUBSTITUTE(SUBSTITUTE('STANDAR RESEP'!A569, " ", "_"), "(", ""), ")", ""))))</f>
        <v/>
      </c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39"/>
      <c r="X542" s="17"/>
      <c r="Y542" s="40" t="str">
        <f t="array" ref="Y542">IF('STANDAR RESEP'!A570="", "", TRANSPOSE(INDIRECT(SUBSTITUTE(SUBSTITUTE(SUBSTITUTE('STANDAR RESEP'!A570, " ", "_"), "(", ""), ")", ""))))</f>
        <v/>
      </c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39"/>
      <c r="X543" s="17"/>
      <c r="Y543" s="40" t="str">
        <f t="array" ref="Y543">IF('STANDAR RESEP'!A571="", "", TRANSPOSE(INDIRECT(SUBSTITUTE(SUBSTITUTE(SUBSTITUTE('STANDAR RESEP'!A571, " ", "_"), "(", ""), ")", ""))))</f>
        <v/>
      </c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39"/>
      <c r="X544" s="17"/>
      <c r="Y544" s="40" t="str">
        <f t="array" ref="Y544">IF('STANDAR RESEP'!A572="", "", TRANSPOSE(INDIRECT(SUBSTITUTE(SUBSTITUTE(SUBSTITUTE('STANDAR RESEP'!A572, " ", "_"), "(", ""), ")", ""))))</f>
        <v/>
      </c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39"/>
      <c r="X545" s="17"/>
      <c r="Y545" s="40" t="str">
        <f t="array" ref="Y545">IF('STANDAR RESEP'!A573="", "", TRANSPOSE(INDIRECT(SUBSTITUTE(SUBSTITUTE(SUBSTITUTE('STANDAR RESEP'!A573, " ", "_"), "(", ""), ")", ""))))</f>
        <v/>
      </c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39"/>
      <c r="X546" s="17"/>
      <c r="Y546" s="40" t="str">
        <f t="array" ref="Y546">IF('STANDAR RESEP'!A574="", "", TRANSPOSE(INDIRECT(SUBSTITUTE(SUBSTITUTE(SUBSTITUTE('STANDAR RESEP'!A574, " ", "_"), "(", ""), ")", ""))))</f>
        <v/>
      </c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39"/>
      <c r="X547" s="17"/>
      <c r="Y547" s="40" t="str">
        <f t="array" ref="Y547">IF('STANDAR RESEP'!A575="", "", TRANSPOSE(INDIRECT(SUBSTITUTE(SUBSTITUTE(SUBSTITUTE('STANDAR RESEP'!A575, " ", "_"), "(", ""), ")", ""))))</f>
        <v/>
      </c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39"/>
      <c r="X548" s="17"/>
      <c r="Y548" s="40" t="str">
        <f t="array" ref="Y548">IF('STANDAR RESEP'!A576="", "", TRANSPOSE(INDIRECT(SUBSTITUTE(SUBSTITUTE(SUBSTITUTE('STANDAR RESEP'!A576, " ", "_"), "(", ""), ")", ""))))</f>
        <v/>
      </c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39"/>
      <c r="X549" s="17"/>
      <c r="Y549" s="40" t="str">
        <f t="array" ref="Y549">IF('STANDAR RESEP'!A577="", "", TRANSPOSE(INDIRECT(SUBSTITUTE(SUBSTITUTE(SUBSTITUTE('STANDAR RESEP'!A577, " ", "_"), "(", ""), ")", ""))))</f>
        <v/>
      </c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39"/>
      <c r="X550" s="17"/>
      <c r="Y550" s="40" t="str">
        <f t="array" ref="Y550">IF('STANDAR RESEP'!A578="", "", TRANSPOSE(INDIRECT(SUBSTITUTE(SUBSTITUTE(SUBSTITUTE('STANDAR RESEP'!A578, " ", "_"), "(", ""), ")", ""))))</f>
        <v/>
      </c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39"/>
      <c r="X551" s="17"/>
      <c r="Y551" s="40" t="str">
        <f t="array" ref="Y551">IF('STANDAR RESEP'!A579="", "", TRANSPOSE(INDIRECT(SUBSTITUTE(SUBSTITUTE(SUBSTITUTE('STANDAR RESEP'!A579, " ", "_"), "(", ""), ")", ""))))</f>
        <v/>
      </c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39"/>
      <c r="X552" s="17"/>
      <c r="Y552" s="40" t="str">
        <f t="array" ref="Y552">IF('STANDAR RESEP'!A580="", "", TRANSPOSE(INDIRECT(SUBSTITUTE(SUBSTITUTE(SUBSTITUTE('STANDAR RESEP'!A580, " ", "_"), "(", ""), ")", ""))))</f>
        <v/>
      </c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39"/>
      <c r="X553" s="17"/>
      <c r="Y553" s="40" t="str">
        <f t="array" ref="Y553">IF('STANDAR RESEP'!A581="", "", TRANSPOSE(INDIRECT(SUBSTITUTE(SUBSTITUTE(SUBSTITUTE('STANDAR RESEP'!A581, " ", "_"), "(", ""), ")", ""))))</f>
        <v/>
      </c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39"/>
      <c r="X554" s="17"/>
      <c r="Y554" s="40" t="str">
        <f t="array" ref="Y554">IF('STANDAR RESEP'!A582="", "", TRANSPOSE(INDIRECT(SUBSTITUTE(SUBSTITUTE(SUBSTITUTE('STANDAR RESEP'!A582, " ", "_"), "(", ""), ")", ""))))</f>
        <v/>
      </c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39"/>
      <c r="X555" s="17"/>
      <c r="Y555" s="40" t="str">
        <f t="array" ref="Y555">IF('STANDAR RESEP'!A583="", "", TRANSPOSE(INDIRECT(SUBSTITUTE(SUBSTITUTE(SUBSTITUTE('STANDAR RESEP'!A583, " ", "_"), "(", ""), ")", ""))))</f>
        <v/>
      </c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39"/>
      <c r="X556" s="17"/>
      <c r="Y556" s="40" t="str">
        <f t="array" ref="Y556">IF('STANDAR RESEP'!A584="", "", TRANSPOSE(INDIRECT(SUBSTITUTE(SUBSTITUTE(SUBSTITUTE('STANDAR RESEP'!A584, " ", "_"), "(", ""), ")", ""))))</f>
        <v/>
      </c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39"/>
      <c r="X557" s="17"/>
      <c r="Y557" s="40" t="str">
        <f t="array" ref="Y557">IF('STANDAR RESEP'!A585="", "", TRANSPOSE(INDIRECT(SUBSTITUTE(SUBSTITUTE(SUBSTITUTE('STANDAR RESEP'!A585, " ", "_"), "(", ""), ")", ""))))</f>
        <v/>
      </c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39"/>
      <c r="X558" s="17"/>
      <c r="Y558" s="40" t="str">
        <f t="array" ref="Y558">IF('STANDAR RESEP'!A586="", "", TRANSPOSE(INDIRECT(SUBSTITUTE(SUBSTITUTE(SUBSTITUTE('STANDAR RESEP'!A586, " ", "_"), "(", ""), ")", ""))))</f>
        <v/>
      </c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39"/>
      <c r="X559" s="17"/>
      <c r="Y559" s="40" t="str">
        <f t="array" ref="Y559">IF('STANDAR RESEP'!A587="", "", TRANSPOSE(INDIRECT(SUBSTITUTE(SUBSTITUTE(SUBSTITUTE('STANDAR RESEP'!A587, " ", "_"), "(", ""), ")", ""))))</f>
        <v/>
      </c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39"/>
      <c r="X560" s="17"/>
      <c r="Y560" s="40" t="str">
        <f t="array" ref="Y560">IF('STANDAR RESEP'!A588="", "", TRANSPOSE(INDIRECT(SUBSTITUTE(SUBSTITUTE(SUBSTITUTE('STANDAR RESEP'!A588, " ", "_"), "(", ""), ")", ""))))</f>
        <v/>
      </c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39"/>
      <c r="X561" s="17"/>
      <c r="Y561" s="40" t="str">
        <f t="array" ref="Y561">IF('STANDAR RESEP'!A589="", "", TRANSPOSE(INDIRECT(SUBSTITUTE(SUBSTITUTE(SUBSTITUTE('STANDAR RESEP'!A589, " ", "_"), "(", ""), ")", ""))))</f>
        <v/>
      </c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39"/>
      <c r="X562" s="17"/>
      <c r="Y562" s="40" t="str">
        <f t="array" ref="Y562">IF('STANDAR RESEP'!A590="", "", TRANSPOSE(INDIRECT(SUBSTITUTE(SUBSTITUTE(SUBSTITUTE('STANDAR RESEP'!A590, " ", "_"), "(", ""), ")", ""))))</f>
        <v/>
      </c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39"/>
      <c r="X563" s="17"/>
      <c r="Y563" s="40" t="str">
        <f t="array" ref="Y563">IF('STANDAR RESEP'!A591="", "", TRANSPOSE(INDIRECT(SUBSTITUTE(SUBSTITUTE(SUBSTITUTE('STANDAR RESEP'!A591, " ", "_"), "(", ""), ")", ""))))</f>
        <v/>
      </c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39"/>
      <c r="X564" s="17"/>
      <c r="Y564" s="40" t="str">
        <f t="array" ref="Y564">IF('STANDAR RESEP'!A592="", "", TRANSPOSE(INDIRECT(SUBSTITUTE(SUBSTITUTE(SUBSTITUTE('STANDAR RESEP'!A592, " ", "_"), "(", ""), ")", ""))))</f>
        <v/>
      </c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39"/>
      <c r="X565" s="17"/>
      <c r="Y565" s="40" t="str">
        <f t="array" ref="Y565">IF('STANDAR RESEP'!A593="", "", TRANSPOSE(INDIRECT(SUBSTITUTE(SUBSTITUTE(SUBSTITUTE('STANDAR RESEP'!A593, " ", "_"), "(", ""), ")", ""))))</f>
        <v/>
      </c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39"/>
      <c r="X566" s="17"/>
      <c r="Y566" s="40" t="str">
        <f t="array" ref="Y566">IF('STANDAR RESEP'!A594="", "", TRANSPOSE(INDIRECT(SUBSTITUTE(SUBSTITUTE(SUBSTITUTE('STANDAR RESEP'!A594, " ", "_"), "(", ""), ")", ""))))</f>
        <v/>
      </c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39"/>
      <c r="X567" s="17"/>
      <c r="Y567" s="40" t="str">
        <f t="array" ref="Y567">IF('STANDAR RESEP'!A595="", "", TRANSPOSE(INDIRECT(SUBSTITUTE(SUBSTITUTE(SUBSTITUTE('STANDAR RESEP'!A595, " ", "_"), "(", ""), ")", ""))))</f>
        <v/>
      </c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39"/>
      <c r="X568" s="17"/>
      <c r="Y568" s="40" t="str">
        <f t="array" ref="Y568">IF('STANDAR RESEP'!A596="", "", TRANSPOSE(INDIRECT(SUBSTITUTE(SUBSTITUTE(SUBSTITUTE('STANDAR RESEP'!A596, " ", "_"), "(", ""), ")", ""))))</f>
        <v/>
      </c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39"/>
      <c r="X569" s="17"/>
      <c r="Y569" s="40" t="str">
        <f t="array" ref="Y569">IF('STANDAR RESEP'!A597="", "", TRANSPOSE(INDIRECT(SUBSTITUTE(SUBSTITUTE(SUBSTITUTE('STANDAR RESEP'!A597, " ", "_"), "(", ""), ")", ""))))</f>
        <v/>
      </c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39"/>
      <c r="X570" s="17"/>
      <c r="Y570" s="40" t="str">
        <f t="array" ref="Y570">IF('STANDAR RESEP'!A598="", "", TRANSPOSE(INDIRECT(SUBSTITUTE(SUBSTITUTE(SUBSTITUTE('STANDAR RESEP'!A598, " ", "_"), "(", ""), ")", ""))))</f>
        <v/>
      </c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39"/>
      <c r="X571" s="17"/>
      <c r="Y571" s="40" t="str">
        <f t="array" ref="Y571">IF('STANDAR RESEP'!A599="", "", TRANSPOSE(INDIRECT(SUBSTITUTE(SUBSTITUTE(SUBSTITUTE('STANDAR RESEP'!A599, " ", "_"), "(", ""), ")", ""))))</f>
        <v/>
      </c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39"/>
      <c r="X572" s="17"/>
      <c r="Y572" s="40" t="str">
        <f t="array" ref="Y572">IF('STANDAR RESEP'!A600="", "", TRANSPOSE(INDIRECT(SUBSTITUTE(SUBSTITUTE(SUBSTITUTE('STANDAR RESEP'!A600, " ", "_"), "(", ""), ")", ""))))</f>
        <v/>
      </c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39"/>
      <c r="X573" s="17"/>
      <c r="Y573" s="40" t="str">
        <f t="array" ref="Y573">IF('STANDAR RESEP'!A601="", "", TRANSPOSE(INDIRECT(SUBSTITUTE(SUBSTITUTE(SUBSTITUTE('STANDAR RESEP'!A601, " ", "_"), "(", ""), ")", ""))))</f>
        <v/>
      </c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39"/>
      <c r="X574" s="17"/>
      <c r="Y574" s="40" t="str">
        <f t="array" ref="Y574">IF('STANDAR RESEP'!A602="", "", TRANSPOSE(INDIRECT(SUBSTITUTE(SUBSTITUTE(SUBSTITUTE('STANDAR RESEP'!A602, " ", "_"), "(", ""), ")", ""))))</f>
        <v/>
      </c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39"/>
      <c r="X575" s="17"/>
      <c r="Y575" s="40" t="str">
        <f t="array" ref="Y575">IF('STANDAR RESEP'!A603="", "", TRANSPOSE(INDIRECT(SUBSTITUTE(SUBSTITUTE(SUBSTITUTE('STANDAR RESEP'!A603, " ", "_"), "(", ""), ")", ""))))</f>
        <v/>
      </c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39"/>
      <c r="X576" s="17"/>
      <c r="Y576" s="40" t="str">
        <f t="array" ref="Y576">IF('STANDAR RESEP'!A604="", "", TRANSPOSE(INDIRECT(SUBSTITUTE(SUBSTITUTE(SUBSTITUTE('STANDAR RESEP'!A604, " ", "_"), "(", ""), ")", ""))))</f>
        <v/>
      </c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39"/>
      <c r="X577" s="17"/>
      <c r="Y577" s="40" t="str">
        <f t="array" ref="Y577">IF('STANDAR RESEP'!A605="", "", TRANSPOSE(INDIRECT(SUBSTITUTE(SUBSTITUTE(SUBSTITUTE('STANDAR RESEP'!A605, " ", "_"), "(", ""), ")", ""))))</f>
        <v/>
      </c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39"/>
      <c r="X578" s="17"/>
      <c r="Y578" s="40" t="str">
        <f t="array" ref="Y578">IF('STANDAR RESEP'!A606="", "", TRANSPOSE(INDIRECT(SUBSTITUTE(SUBSTITUTE(SUBSTITUTE('STANDAR RESEP'!A606, " ", "_"), "(", ""), ")", ""))))</f>
        <v/>
      </c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39"/>
      <c r="X579" s="17"/>
      <c r="Y579" s="40" t="str">
        <f t="array" ref="Y579">IF('STANDAR RESEP'!A607="", "", TRANSPOSE(INDIRECT(SUBSTITUTE(SUBSTITUTE(SUBSTITUTE('STANDAR RESEP'!A607, " ", "_"), "(", ""), ")", ""))))</f>
        <v/>
      </c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39"/>
      <c r="X580" s="17"/>
      <c r="Y580" s="40" t="str">
        <f t="array" ref="Y580">IF('STANDAR RESEP'!A608="", "", TRANSPOSE(INDIRECT(SUBSTITUTE(SUBSTITUTE(SUBSTITUTE('STANDAR RESEP'!A608, " ", "_"), "(", ""), ")", ""))))</f>
        <v/>
      </c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39"/>
      <c r="X581" s="17"/>
      <c r="Y581" s="40" t="str">
        <f t="array" ref="Y581">IF('STANDAR RESEP'!A609="", "", TRANSPOSE(INDIRECT(SUBSTITUTE(SUBSTITUTE(SUBSTITUTE('STANDAR RESEP'!A609, " ", "_"), "(", ""), ")", ""))))</f>
        <v/>
      </c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39"/>
      <c r="X582" s="17"/>
      <c r="Y582" s="40" t="str">
        <f t="array" ref="Y582">IF('STANDAR RESEP'!A610="", "", TRANSPOSE(INDIRECT(SUBSTITUTE(SUBSTITUTE(SUBSTITUTE('STANDAR RESEP'!A610, " ", "_"), "(", ""), ")", ""))))</f>
        <v/>
      </c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39"/>
      <c r="X583" s="17"/>
      <c r="Y583" s="40" t="str">
        <f t="array" ref="Y583">IF('STANDAR RESEP'!A611="", "", TRANSPOSE(INDIRECT(SUBSTITUTE(SUBSTITUTE(SUBSTITUTE('STANDAR RESEP'!A611, " ", "_"), "(", ""), ")", ""))))</f>
        <v/>
      </c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39"/>
      <c r="X584" s="17"/>
      <c r="Y584" s="40" t="str">
        <f t="array" ref="Y584">IF('STANDAR RESEP'!A612="", "", TRANSPOSE(INDIRECT(SUBSTITUTE(SUBSTITUTE(SUBSTITUTE('STANDAR RESEP'!A612, " ", "_"), "(", ""), ")", ""))))</f>
        <v/>
      </c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39"/>
      <c r="X585" s="17"/>
      <c r="Y585" s="40" t="str">
        <f t="array" ref="Y585">IF('STANDAR RESEP'!A613="", "", TRANSPOSE(INDIRECT(SUBSTITUTE(SUBSTITUTE(SUBSTITUTE('STANDAR RESEP'!A613, " ", "_"), "(", ""), ")", ""))))</f>
        <v/>
      </c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39"/>
      <c r="X586" s="17"/>
      <c r="Y586" s="40" t="str">
        <f t="array" ref="Y586">IF('STANDAR RESEP'!A614="", "", TRANSPOSE(INDIRECT(SUBSTITUTE(SUBSTITUTE(SUBSTITUTE('STANDAR RESEP'!A614, " ", "_"), "(", ""), ")", ""))))</f>
        <v/>
      </c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39"/>
      <c r="X587" s="17"/>
      <c r="Y587" s="40" t="str">
        <f t="array" ref="Y587">IF('STANDAR RESEP'!A615="", "", TRANSPOSE(INDIRECT(SUBSTITUTE(SUBSTITUTE(SUBSTITUTE('STANDAR RESEP'!A615, " ", "_"), "(", ""), ")", ""))))</f>
        <v/>
      </c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39"/>
      <c r="X588" s="17"/>
      <c r="Y588" s="40" t="str">
        <f t="array" ref="Y588">IF('STANDAR RESEP'!A616="", "", TRANSPOSE(INDIRECT(SUBSTITUTE(SUBSTITUTE(SUBSTITUTE('STANDAR RESEP'!A616, " ", "_"), "(", ""), ")", ""))))</f>
        <v/>
      </c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39"/>
      <c r="X589" s="17"/>
      <c r="Y589" s="40" t="str">
        <f t="array" ref="Y589">IF('STANDAR RESEP'!A617="", "", TRANSPOSE(INDIRECT(SUBSTITUTE(SUBSTITUTE(SUBSTITUTE('STANDAR RESEP'!A617, " ", "_"), "(", ""), ")", ""))))</f>
        <v/>
      </c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39"/>
      <c r="X590" s="17"/>
      <c r="Y590" s="40" t="str">
        <f t="array" ref="Y590">IF('STANDAR RESEP'!A618="", "", TRANSPOSE(INDIRECT(SUBSTITUTE(SUBSTITUTE(SUBSTITUTE('STANDAR RESEP'!A618, " ", "_"), "(", ""), ")", ""))))</f>
        <v/>
      </c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39"/>
      <c r="X591" s="17"/>
      <c r="Y591" s="40" t="str">
        <f t="array" ref="Y591">IF('STANDAR RESEP'!A619="", "", TRANSPOSE(INDIRECT(SUBSTITUTE(SUBSTITUTE(SUBSTITUTE('STANDAR RESEP'!A619, " ", "_"), "(", ""), ")", ""))))</f>
        <v/>
      </c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39"/>
      <c r="X592" s="17"/>
      <c r="Y592" s="40" t="str">
        <f t="array" ref="Y592">IF('STANDAR RESEP'!A620="", "", TRANSPOSE(INDIRECT(SUBSTITUTE(SUBSTITUTE(SUBSTITUTE('STANDAR RESEP'!A620, " ", "_"), "(", ""), ")", ""))))</f>
        <v/>
      </c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39"/>
      <c r="X593" s="17"/>
      <c r="Y593" s="40" t="str">
        <f t="array" ref="Y593">IF('STANDAR RESEP'!A621="", "", TRANSPOSE(INDIRECT(SUBSTITUTE(SUBSTITUTE(SUBSTITUTE('STANDAR RESEP'!A621, " ", "_"), "(", ""), ")", ""))))</f>
        <v/>
      </c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39"/>
      <c r="X594" s="17"/>
      <c r="Y594" s="40" t="str">
        <f t="array" ref="Y594">IF('STANDAR RESEP'!A622="", "", TRANSPOSE(INDIRECT(SUBSTITUTE(SUBSTITUTE(SUBSTITUTE('STANDAR RESEP'!A622, " ", "_"), "(", ""), ")", ""))))</f>
        <v/>
      </c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39"/>
      <c r="X595" s="17"/>
      <c r="Y595" s="40" t="str">
        <f t="array" ref="Y595">IF('STANDAR RESEP'!A623="", "", TRANSPOSE(INDIRECT(SUBSTITUTE(SUBSTITUTE(SUBSTITUTE('STANDAR RESEP'!A623, " ", "_"), "(", ""), ")", ""))))</f>
        <v/>
      </c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39"/>
      <c r="X596" s="17"/>
      <c r="Y596" s="40" t="str">
        <f t="array" ref="Y596">IF('STANDAR RESEP'!A624="", "", TRANSPOSE(INDIRECT(SUBSTITUTE(SUBSTITUTE(SUBSTITUTE('STANDAR RESEP'!A624, " ", "_"), "(", ""), ")", ""))))</f>
        <v/>
      </c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39"/>
      <c r="X597" s="17"/>
      <c r="Y597" s="40" t="str">
        <f t="array" ref="Y597">IF('STANDAR RESEP'!A625="", "", TRANSPOSE(INDIRECT(SUBSTITUTE(SUBSTITUTE(SUBSTITUTE('STANDAR RESEP'!A625, " ", "_"), "(", ""), ")", ""))))</f>
        <v/>
      </c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39"/>
      <c r="X598" s="17"/>
      <c r="Y598" s="40" t="str">
        <f t="array" ref="Y598">IF('STANDAR RESEP'!A626="", "", TRANSPOSE(INDIRECT(SUBSTITUTE(SUBSTITUTE(SUBSTITUTE('STANDAR RESEP'!A626, " ", "_"), "(", ""), ")", ""))))</f>
        <v/>
      </c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39"/>
      <c r="X599" s="17"/>
      <c r="Y599" s="40" t="str">
        <f t="array" ref="Y599">IF('STANDAR RESEP'!A627="", "", TRANSPOSE(INDIRECT(SUBSTITUTE(SUBSTITUTE(SUBSTITUTE('STANDAR RESEP'!A627, " ", "_"), "(", ""), ")", ""))))</f>
        <v/>
      </c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39"/>
      <c r="X600" s="17"/>
      <c r="Y600" s="40" t="str">
        <f t="array" ref="Y600">IF('STANDAR RESEP'!A628="", "", TRANSPOSE(INDIRECT(SUBSTITUTE(SUBSTITUTE(SUBSTITUTE('STANDAR RESEP'!A628, " ", "_"), "(", ""), ")", ""))))</f>
        <v/>
      </c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39"/>
      <c r="X601" s="17"/>
      <c r="Y601" s="40" t="str">
        <f t="array" ref="Y601">IF('STANDAR RESEP'!A629="", "", TRANSPOSE(INDIRECT(SUBSTITUTE(SUBSTITUTE(SUBSTITUTE('STANDAR RESEP'!A629, " ", "_"), "(", ""), ")", ""))))</f>
        <v/>
      </c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39"/>
      <c r="X602" s="17"/>
      <c r="Y602" s="40" t="str">
        <f t="array" ref="Y602">IF('STANDAR RESEP'!A630="", "", TRANSPOSE(INDIRECT(SUBSTITUTE(SUBSTITUTE(SUBSTITUTE('STANDAR RESEP'!A630, " ", "_"), "(", ""), ")", ""))))</f>
        <v/>
      </c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39"/>
      <c r="X603" s="17"/>
      <c r="Y603" s="40" t="str">
        <f t="array" ref="Y603">IF('STANDAR RESEP'!A631="", "", TRANSPOSE(INDIRECT(SUBSTITUTE(SUBSTITUTE(SUBSTITUTE('STANDAR RESEP'!A631, " ", "_"), "(", ""), ")", ""))))</f>
        <v/>
      </c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39"/>
      <c r="X604" s="17"/>
      <c r="Y604" s="40" t="str">
        <f t="array" ref="Y604">IF('STANDAR RESEP'!A632="", "", TRANSPOSE(INDIRECT(SUBSTITUTE(SUBSTITUTE(SUBSTITUTE('STANDAR RESEP'!A632, " ", "_"), "(", ""), ")", ""))))</f>
        <v/>
      </c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39"/>
      <c r="X605" s="17"/>
      <c r="Y605" s="40" t="str">
        <f t="array" ref="Y605">IF('STANDAR RESEP'!A633="", "", TRANSPOSE(INDIRECT(SUBSTITUTE(SUBSTITUTE(SUBSTITUTE('STANDAR RESEP'!A633, " ", "_"), "(", ""), ")", ""))))</f>
        <v/>
      </c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39"/>
      <c r="X606" s="17"/>
      <c r="Y606" s="40" t="str">
        <f t="array" ref="Y606">IF('STANDAR RESEP'!A634="", "", TRANSPOSE(INDIRECT(SUBSTITUTE(SUBSTITUTE(SUBSTITUTE('STANDAR RESEP'!A634, " ", "_"), "(", ""), ")", ""))))</f>
        <v/>
      </c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39"/>
      <c r="X607" s="17"/>
      <c r="Y607" s="40" t="str">
        <f t="array" ref="Y607">IF('STANDAR RESEP'!A635="", "", TRANSPOSE(INDIRECT(SUBSTITUTE(SUBSTITUTE(SUBSTITUTE('STANDAR RESEP'!A635, " ", "_"), "(", ""), ")", ""))))</f>
        <v/>
      </c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39"/>
      <c r="X608" s="17"/>
      <c r="Y608" s="40" t="str">
        <f t="array" ref="Y608">IF('STANDAR RESEP'!A636="", "", TRANSPOSE(INDIRECT(SUBSTITUTE(SUBSTITUTE(SUBSTITUTE('STANDAR RESEP'!A636, " ", "_"), "(", ""), ")", ""))))</f>
        <v/>
      </c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39"/>
      <c r="X609" s="17"/>
      <c r="Y609" s="40" t="str">
        <f t="array" ref="Y609">IF('STANDAR RESEP'!A637="", "", TRANSPOSE(INDIRECT(SUBSTITUTE(SUBSTITUTE(SUBSTITUTE('STANDAR RESEP'!A637, " ", "_"), "(", ""), ")", ""))))</f>
        <v/>
      </c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39"/>
      <c r="X610" s="17"/>
      <c r="Y610" s="40" t="str">
        <f t="array" ref="Y610">IF('STANDAR RESEP'!A638="", "", TRANSPOSE(INDIRECT(SUBSTITUTE(SUBSTITUTE(SUBSTITUTE('STANDAR RESEP'!A638, " ", "_"), "(", ""), ")", ""))))</f>
        <v/>
      </c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39"/>
      <c r="X611" s="17"/>
      <c r="Y611" s="40" t="str">
        <f t="array" ref="Y611">IF('STANDAR RESEP'!A639="", "", TRANSPOSE(INDIRECT(SUBSTITUTE(SUBSTITUTE(SUBSTITUTE('STANDAR RESEP'!A639, " ", "_"), "(", ""), ")", ""))))</f>
        <v/>
      </c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39"/>
      <c r="X612" s="17"/>
      <c r="Y612" s="40" t="str">
        <f t="array" ref="Y612">IF('STANDAR RESEP'!A640="", "", TRANSPOSE(INDIRECT(SUBSTITUTE(SUBSTITUTE(SUBSTITUTE('STANDAR RESEP'!A640, " ", "_"), "(", ""), ")", ""))))</f>
        <v/>
      </c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39"/>
      <c r="X613" s="17"/>
      <c r="Y613" s="40" t="str">
        <f t="array" ref="Y613">IF('STANDAR RESEP'!A641="", "", TRANSPOSE(INDIRECT(SUBSTITUTE(SUBSTITUTE(SUBSTITUTE('STANDAR RESEP'!A641, " ", "_"), "(", ""), ")", ""))))</f>
        <v/>
      </c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39"/>
      <c r="X614" s="17"/>
      <c r="Y614" s="40" t="str">
        <f t="array" ref="Y614">IF('STANDAR RESEP'!A642="", "", TRANSPOSE(INDIRECT(SUBSTITUTE(SUBSTITUTE(SUBSTITUTE('STANDAR RESEP'!A642, " ", "_"), "(", ""), ")", ""))))</f>
        <v/>
      </c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39"/>
      <c r="X615" s="17"/>
      <c r="Y615" s="40" t="str">
        <f t="array" ref="Y615">IF('STANDAR RESEP'!A643="", "", TRANSPOSE(INDIRECT(SUBSTITUTE(SUBSTITUTE(SUBSTITUTE('STANDAR RESEP'!A643, " ", "_"), "(", ""), ")", ""))))</f>
        <v/>
      </c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39"/>
      <c r="X616" s="17"/>
      <c r="Y616" s="40" t="str">
        <f t="array" ref="Y616">IF('STANDAR RESEP'!A644="", "", TRANSPOSE(INDIRECT(SUBSTITUTE(SUBSTITUTE(SUBSTITUTE('STANDAR RESEP'!A644, " ", "_"), "(", ""), ")", ""))))</f>
        <v/>
      </c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39"/>
      <c r="X617" s="17"/>
      <c r="Y617" s="40" t="str">
        <f t="array" ref="Y617">IF('STANDAR RESEP'!A645="", "", TRANSPOSE(INDIRECT(SUBSTITUTE(SUBSTITUTE(SUBSTITUTE('STANDAR RESEP'!A645, " ", "_"), "(", ""), ")", ""))))</f>
        <v/>
      </c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39"/>
      <c r="X618" s="17"/>
      <c r="Y618" s="40" t="str">
        <f t="array" ref="Y618">IF('STANDAR RESEP'!A646="", "", TRANSPOSE(INDIRECT(SUBSTITUTE(SUBSTITUTE(SUBSTITUTE('STANDAR RESEP'!A646, " ", "_"), "(", ""), ")", ""))))</f>
        <v/>
      </c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39"/>
      <c r="X619" s="17"/>
      <c r="Y619" s="40" t="str">
        <f t="array" ref="Y619">IF('STANDAR RESEP'!A647="", "", TRANSPOSE(INDIRECT(SUBSTITUTE(SUBSTITUTE(SUBSTITUTE('STANDAR RESEP'!A647, " ", "_"), "(", ""), ")", ""))))</f>
        <v/>
      </c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39"/>
      <c r="X620" s="17"/>
      <c r="Y620" s="40" t="str">
        <f t="array" ref="Y620">IF('STANDAR RESEP'!A648="", "", TRANSPOSE(INDIRECT(SUBSTITUTE(SUBSTITUTE(SUBSTITUTE('STANDAR RESEP'!A648, " ", "_"), "(", ""), ")", ""))))</f>
        <v/>
      </c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39"/>
      <c r="X621" s="17"/>
      <c r="Y621" s="40" t="str">
        <f t="array" ref="Y621">IF('STANDAR RESEP'!A649="", "", TRANSPOSE(INDIRECT(SUBSTITUTE(SUBSTITUTE(SUBSTITUTE('STANDAR RESEP'!A649, " ", "_"), "(", ""), ")", ""))))</f>
        <v/>
      </c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39"/>
      <c r="X622" s="17"/>
      <c r="Y622" s="40" t="str">
        <f t="array" ref="Y622">IF('STANDAR RESEP'!A650="", "", TRANSPOSE(INDIRECT(SUBSTITUTE(SUBSTITUTE(SUBSTITUTE('STANDAR RESEP'!A650, " ", "_"), "(", ""), ")", ""))))</f>
        <v/>
      </c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39"/>
      <c r="X623" s="17"/>
      <c r="Y623" s="40" t="str">
        <f t="array" ref="Y623">IF('STANDAR RESEP'!A651="", "", TRANSPOSE(INDIRECT(SUBSTITUTE(SUBSTITUTE(SUBSTITUTE('STANDAR RESEP'!A651, " ", "_"), "(", ""), ")", ""))))</f>
        <v/>
      </c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39"/>
      <c r="X624" s="17"/>
      <c r="Y624" s="40" t="str">
        <f t="array" ref="Y624">IF('STANDAR RESEP'!A652="", "", TRANSPOSE(INDIRECT(SUBSTITUTE(SUBSTITUTE(SUBSTITUTE('STANDAR RESEP'!A652, " ", "_"), "(", ""), ")", ""))))</f>
        <v/>
      </c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39"/>
      <c r="X625" s="17"/>
      <c r="Y625" s="40" t="str">
        <f t="array" ref="Y625">IF('STANDAR RESEP'!A653="", "", TRANSPOSE(INDIRECT(SUBSTITUTE(SUBSTITUTE(SUBSTITUTE('STANDAR RESEP'!A653, " ", "_"), "(", ""), ")", ""))))</f>
        <v/>
      </c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39"/>
      <c r="X626" s="17"/>
      <c r="Y626" s="40" t="str">
        <f t="array" ref="Y626">IF('STANDAR RESEP'!A654="", "", TRANSPOSE(INDIRECT(SUBSTITUTE(SUBSTITUTE(SUBSTITUTE('STANDAR RESEP'!A654, " ", "_"), "(", ""), ")", ""))))</f>
        <v/>
      </c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39"/>
      <c r="X627" s="17"/>
      <c r="Y627" s="40" t="str">
        <f t="array" ref="Y627">IF('STANDAR RESEP'!A655="", "", TRANSPOSE(INDIRECT(SUBSTITUTE(SUBSTITUTE(SUBSTITUTE('STANDAR RESEP'!A655, " ", "_"), "(", ""), ")", ""))))</f>
        <v/>
      </c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39"/>
      <c r="X628" s="17"/>
      <c r="Y628" s="40" t="str">
        <f t="array" ref="Y628">IF('STANDAR RESEP'!A656="", "", TRANSPOSE(INDIRECT(SUBSTITUTE(SUBSTITUTE(SUBSTITUTE('STANDAR RESEP'!A656, " ", "_"), "(", ""), ")", ""))))</f>
        <v/>
      </c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39"/>
      <c r="X629" s="17"/>
      <c r="Y629" s="40" t="str">
        <f t="array" ref="Y629">IF('STANDAR RESEP'!A657="", "", TRANSPOSE(INDIRECT(SUBSTITUTE(SUBSTITUTE(SUBSTITUTE('STANDAR RESEP'!A657, " ", "_"), "(", ""), ")", ""))))</f>
        <v/>
      </c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39"/>
      <c r="X630" s="17"/>
      <c r="Y630" s="40" t="str">
        <f t="array" ref="Y630">IF('STANDAR RESEP'!A658="", "", TRANSPOSE(INDIRECT(SUBSTITUTE(SUBSTITUTE(SUBSTITUTE('STANDAR RESEP'!A658, " ", "_"), "(", ""), ")", ""))))</f>
        <v/>
      </c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39"/>
      <c r="X631" s="17"/>
      <c r="Y631" s="40" t="str">
        <f t="array" ref="Y631">IF('STANDAR RESEP'!A659="", "", TRANSPOSE(INDIRECT(SUBSTITUTE(SUBSTITUTE(SUBSTITUTE('STANDAR RESEP'!A659, " ", "_"), "(", ""), ")", ""))))</f>
        <v/>
      </c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39"/>
      <c r="X632" s="17"/>
      <c r="Y632" s="40" t="str">
        <f t="array" ref="Y632">IF('STANDAR RESEP'!A660="", "", TRANSPOSE(INDIRECT(SUBSTITUTE(SUBSTITUTE(SUBSTITUTE('STANDAR RESEP'!A660, " ", "_"), "(", ""), ")", ""))))</f>
        <v/>
      </c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39"/>
      <c r="X633" s="17"/>
      <c r="Y633" s="40" t="str">
        <f t="array" ref="Y633">IF('STANDAR RESEP'!A661="", "", TRANSPOSE(INDIRECT(SUBSTITUTE(SUBSTITUTE(SUBSTITUTE('STANDAR RESEP'!A661, " ", "_"), "(", ""), ")", ""))))</f>
        <v/>
      </c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39"/>
      <c r="X634" s="17"/>
      <c r="Y634" s="40" t="str">
        <f t="array" ref="Y634">IF('STANDAR RESEP'!A662="", "", TRANSPOSE(INDIRECT(SUBSTITUTE(SUBSTITUTE(SUBSTITUTE('STANDAR RESEP'!A662, " ", "_"), "(", ""), ")", ""))))</f>
        <v/>
      </c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39"/>
      <c r="X635" s="17"/>
      <c r="Y635" s="40" t="str">
        <f t="array" ref="Y635">IF('STANDAR RESEP'!A663="", "", TRANSPOSE(INDIRECT(SUBSTITUTE(SUBSTITUTE(SUBSTITUTE('STANDAR RESEP'!A663, " ", "_"), "(", ""), ")", ""))))</f>
        <v/>
      </c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39"/>
      <c r="X636" s="17"/>
      <c r="Y636" s="40" t="str">
        <f t="array" ref="Y636">IF('STANDAR RESEP'!A664="", "", TRANSPOSE(INDIRECT(SUBSTITUTE(SUBSTITUTE(SUBSTITUTE('STANDAR RESEP'!A664, " ", "_"), "(", ""), ")", ""))))</f>
        <v/>
      </c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39"/>
      <c r="X637" s="17"/>
      <c r="Y637" s="40" t="str">
        <f t="array" ref="Y637">IF('STANDAR RESEP'!A665="", "", TRANSPOSE(INDIRECT(SUBSTITUTE(SUBSTITUTE(SUBSTITUTE('STANDAR RESEP'!A665, " ", "_"), "(", ""), ")", ""))))</f>
        <v/>
      </c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39"/>
      <c r="X638" s="17"/>
      <c r="Y638" s="40" t="str">
        <f t="array" ref="Y638">IF('STANDAR RESEP'!A666="", "", TRANSPOSE(INDIRECT(SUBSTITUTE(SUBSTITUTE(SUBSTITUTE('STANDAR RESEP'!A666, " ", "_"), "(", ""), ")", ""))))</f>
        <v/>
      </c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39"/>
      <c r="X639" s="17"/>
      <c r="Y639" s="40" t="str">
        <f t="array" ref="Y639">IF('STANDAR RESEP'!A667="", "", TRANSPOSE(INDIRECT(SUBSTITUTE(SUBSTITUTE(SUBSTITUTE('STANDAR RESEP'!A667, " ", "_"), "(", ""), ")", ""))))</f>
        <v/>
      </c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39"/>
      <c r="X640" s="17"/>
      <c r="Y640" s="40" t="str">
        <f t="array" ref="Y640">IF('STANDAR RESEP'!A668="", "", TRANSPOSE(INDIRECT(SUBSTITUTE(SUBSTITUTE(SUBSTITUTE('STANDAR RESEP'!A668, " ", "_"), "(", ""), ")", ""))))</f>
        <v/>
      </c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39"/>
      <c r="X641" s="17"/>
      <c r="Y641" s="40" t="str">
        <f t="array" ref="Y641">IF('STANDAR RESEP'!A669="", "", TRANSPOSE(INDIRECT(SUBSTITUTE(SUBSTITUTE(SUBSTITUTE('STANDAR RESEP'!A669, " ", "_"), "(", ""), ")", ""))))</f>
        <v/>
      </c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39"/>
      <c r="X642" s="17"/>
      <c r="Y642" s="40" t="str">
        <f t="array" ref="Y642">IF('STANDAR RESEP'!A670="", "", TRANSPOSE(INDIRECT(SUBSTITUTE(SUBSTITUTE(SUBSTITUTE('STANDAR RESEP'!A670, " ", "_"), "(", ""), ")", ""))))</f>
        <v/>
      </c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39"/>
      <c r="X643" s="17"/>
      <c r="Y643" s="40" t="str">
        <f t="array" ref="Y643">IF('STANDAR RESEP'!A671="", "", TRANSPOSE(INDIRECT(SUBSTITUTE(SUBSTITUTE(SUBSTITUTE('STANDAR RESEP'!A671, " ", "_"), "(", ""), ")", ""))))</f>
        <v/>
      </c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39"/>
      <c r="X644" s="17"/>
      <c r="Y644" s="40" t="str">
        <f t="array" ref="Y644">IF('STANDAR RESEP'!A672="", "", TRANSPOSE(INDIRECT(SUBSTITUTE(SUBSTITUTE(SUBSTITUTE('STANDAR RESEP'!A672, " ", "_"), "(", ""), ")", ""))))</f>
        <v/>
      </c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39"/>
      <c r="X645" s="17"/>
      <c r="Y645" s="40" t="str">
        <f t="array" ref="Y645">IF('STANDAR RESEP'!A673="", "", TRANSPOSE(INDIRECT(SUBSTITUTE(SUBSTITUTE(SUBSTITUTE('STANDAR RESEP'!A673, " ", "_"), "(", ""), ")", ""))))</f>
        <v/>
      </c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39"/>
      <c r="X646" s="17"/>
      <c r="Y646" s="40" t="str">
        <f t="array" ref="Y646">IF('STANDAR RESEP'!A674="", "", TRANSPOSE(INDIRECT(SUBSTITUTE(SUBSTITUTE(SUBSTITUTE('STANDAR RESEP'!A674, " ", "_"), "(", ""), ")", ""))))</f>
        <v/>
      </c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39"/>
      <c r="X647" s="17"/>
      <c r="Y647" s="40" t="str">
        <f t="array" ref="Y647">IF('STANDAR RESEP'!A675="", "", TRANSPOSE(INDIRECT(SUBSTITUTE(SUBSTITUTE(SUBSTITUTE('STANDAR RESEP'!A675, " ", "_"), "(", ""), ")", ""))))</f>
        <v/>
      </c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39"/>
      <c r="X648" s="17"/>
      <c r="Y648" s="40" t="str">
        <f t="array" ref="Y648">IF('STANDAR RESEP'!A676="", "", TRANSPOSE(INDIRECT(SUBSTITUTE(SUBSTITUTE(SUBSTITUTE('STANDAR RESEP'!A676, " ", "_"), "(", ""), ")", ""))))</f>
        <v/>
      </c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39"/>
      <c r="X649" s="17"/>
      <c r="Y649" s="40" t="str">
        <f t="array" ref="Y649">IF('STANDAR RESEP'!A677="", "", TRANSPOSE(INDIRECT(SUBSTITUTE(SUBSTITUTE(SUBSTITUTE('STANDAR RESEP'!A677, " ", "_"), "(", ""), ")", ""))))</f>
        <v/>
      </c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39"/>
      <c r="X650" s="17"/>
      <c r="Y650" s="40" t="str">
        <f t="array" ref="Y650">IF('STANDAR RESEP'!A678="", "", TRANSPOSE(INDIRECT(SUBSTITUTE(SUBSTITUTE(SUBSTITUTE('STANDAR RESEP'!A678, " ", "_"), "(", ""), ")", ""))))</f>
        <v/>
      </c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39"/>
      <c r="X651" s="17"/>
      <c r="Y651" s="40" t="str">
        <f t="array" ref="Y651">IF('STANDAR RESEP'!A679="", "", TRANSPOSE(INDIRECT(SUBSTITUTE(SUBSTITUTE(SUBSTITUTE('STANDAR RESEP'!A679, " ", "_"), "(", ""), ")", ""))))</f>
        <v/>
      </c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39"/>
      <c r="X652" s="17"/>
      <c r="Y652" s="40" t="str">
        <f t="array" ref="Y652">IF('STANDAR RESEP'!A680="", "", TRANSPOSE(INDIRECT(SUBSTITUTE(SUBSTITUTE(SUBSTITUTE('STANDAR RESEP'!A680, " ", "_"), "(", ""), ")", ""))))</f>
        <v/>
      </c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39"/>
      <c r="X653" s="17"/>
      <c r="Y653" s="40" t="str">
        <f t="array" ref="Y653">IF('STANDAR RESEP'!A681="", "", TRANSPOSE(INDIRECT(SUBSTITUTE(SUBSTITUTE(SUBSTITUTE('STANDAR RESEP'!A681, " ", "_"), "(", ""), ")", ""))))</f>
        <v/>
      </c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39"/>
      <c r="X654" s="17"/>
      <c r="Y654" s="40" t="str">
        <f t="array" ref="Y654">IF('STANDAR RESEP'!A682="", "", TRANSPOSE(INDIRECT(SUBSTITUTE(SUBSTITUTE(SUBSTITUTE('STANDAR RESEP'!A682, " ", "_"), "(", ""), ")", ""))))</f>
        <v/>
      </c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39"/>
      <c r="X655" s="17"/>
      <c r="Y655" s="40" t="str">
        <f t="array" ref="Y655">IF('STANDAR RESEP'!A683="", "", TRANSPOSE(INDIRECT(SUBSTITUTE(SUBSTITUTE(SUBSTITUTE('STANDAR RESEP'!A683, " ", "_"), "(", ""), ")", ""))))</f>
        <v/>
      </c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39"/>
      <c r="X656" s="17"/>
      <c r="Y656" s="40" t="str">
        <f t="array" ref="Y656">IF('STANDAR RESEP'!A684="", "", TRANSPOSE(INDIRECT(SUBSTITUTE(SUBSTITUTE(SUBSTITUTE('STANDAR RESEP'!A684, " ", "_"), "(", ""), ")", ""))))</f>
        <v/>
      </c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39"/>
      <c r="X657" s="17"/>
      <c r="Y657" s="40" t="str">
        <f t="array" ref="Y657">IF('STANDAR RESEP'!A685="", "", TRANSPOSE(INDIRECT(SUBSTITUTE(SUBSTITUTE(SUBSTITUTE('STANDAR RESEP'!A685, " ", "_"), "(", ""), ")", ""))))</f>
        <v/>
      </c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39"/>
      <c r="X658" s="17"/>
      <c r="Y658" s="40" t="str">
        <f t="array" ref="Y658">IF('STANDAR RESEP'!A686="", "", TRANSPOSE(INDIRECT(SUBSTITUTE(SUBSTITUTE(SUBSTITUTE('STANDAR RESEP'!A686, " ", "_"), "(", ""), ")", ""))))</f>
        <v/>
      </c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39"/>
      <c r="X659" s="17"/>
      <c r="Y659" s="40" t="str">
        <f t="array" ref="Y659">IF('STANDAR RESEP'!A687="", "", TRANSPOSE(INDIRECT(SUBSTITUTE(SUBSTITUTE(SUBSTITUTE('STANDAR RESEP'!A687, " ", "_"), "(", ""), ")", ""))))</f>
        <v/>
      </c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39"/>
      <c r="X660" s="17"/>
      <c r="Y660" s="40" t="str">
        <f t="array" ref="Y660">IF('STANDAR RESEP'!A688="", "", TRANSPOSE(INDIRECT(SUBSTITUTE(SUBSTITUTE(SUBSTITUTE('STANDAR RESEP'!A688, " ", "_"), "(", ""), ")", ""))))</f>
        <v/>
      </c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39"/>
      <c r="X661" s="17"/>
      <c r="Y661" s="40" t="str">
        <f t="array" ref="Y661">IF('STANDAR RESEP'!A689="", "", TRANSPOSE(INDIRECT(SUBSTITUTE(SUBSTITUTE(SUBSTITUTE('STANDAR RESEP'!A689, " ", "_"), "(", ""), ")", ""))))</f>
        <v/>
      </c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39"/>
      <c r="X662" s="17"/>
      <c r="Y662" s="40" t="str">
        <f t="array" ref="Y662">IF('STANDAR RESEP'!A690="", "", TRANSPOSE(INDIRECT(SUBSTITUTE(SUBSTITUTE(SUBSTITUTE('STANDAR RESEP'!A690, " ", "_"), "(", ""), ")", ""))))</f>
        <v/>
      </c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39"/>
      <c r="X663" s="17"/>
      <c r="Y663" s="40" t="str">
        <f t="array" ref="Y663">IF('STANDAR RESEP'!A691="", "", TRANSPOSE(INDIRECT(SUBSTITUTE(SUBSTITUTE(SUBSTITUTE('STANDAR RESEP'!A691, " ", "_"), "(", ""), ")", ""))))</f>
        <v/>
      </c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39"/>
      <c r="X664" s="17"/>
      <c r="Y664" s="40" t="str">
        <f t="array" ref="Y664">IF('STANDAR RESEP'!A692="", "", TRANSPOSE(INDIRECT(SUBSTITUTE(SUBSTITUTE(SUBSTITUTE('STANDAR RESEP'!A692, " ", "_"), "(", ""), ")", ""))))</f>
        <v/>
      </c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39"/>
      <c r="X665" s="17"/>
      <c r="Y665" s="40" t="str">
        <f t="array" ref="Y665">IF('STANDAR RESEP'!A693="", "", TRANSPOSE(INDIRECT(SUBSTITUTE(SUBSTITUTE(SUBSTITUTE('STANDAR RESEP'!A693, " ", "_"), "(", ""), ")", ""))))</f>
        <v/>
      </c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39"/>
      <c r="X666" s="17"/>
      <c r="Y666" s="40" t="str">
        <f t="array" ref="Y666">IF('STANDAR RESEP'!A694="", "", TRANSPOSE(INDIRECT(SUBSTITUTE(SUBSTITUTE(SUBSTITUTE('STANDAR RESEP'!A694, " ", "_"), "(", ""), ")", ""))))</f>
        <v/>
      </c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39"/>
      <c r="X667" s="17"/>
      <c r="Y667" s="40" t="str">
        <f t="array" ref="Y667">IF('STANDAR RESEP'!A695="", "", TRANSPOSE(INDIRECT(SUBSTITUTE(SUBSTITUTE(SUBSTITUTE('STANDAR RESEP'!A695, " ", "_"), "(", ""), ")", ""))))</f>
        <v/>
      </c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39"/>
      <c r="X668" s="17"/>
      <c r="Y668" s="40" t="str">
        <f t="array" ref="Y668">IF('STANDAR RESEP'!A696="", "", TRANSPOSE(INDIRECT(SUBSTITUTE(SUBSTITUTE(SUBSTITUTE('STANDAR RESEP'!A696, " ", "_"), "(", ""), ")", ""))))</f>
        <v/>
      </c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39"/>
      <c r="X669" s="17"/>
      <c r="Y669" s="40" t="str">
        <f t="array" ref="Y669">IF('STANDAR RESEP'!A697="", "", TRANSPOSE(INDIRECT(SUBSTITUTE(SUBSTITUTE(SUBSTITUTE('STANDAR RESEP'!A697, " ", "_"), "(", ""), ")", ""))))</f>
        <v/>
      </c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39"/>
      <c r="X670" s="17"/>
      <c r="Y670" s="40" t="str">
        <f t="array" ref="Y670">IF('STANDAR RESEP'!A698="", "", TRANSPOSE(INDIRECT(SUBSTITUTE(SUBSTITUTE(SUBSTITUTE('STANDAR RESEP'!A698, " ", "_"), "(", ""), ")", ""))))</f>
        <v/>
      </c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39"/>
      <c r="X671" s="17"/>
      <c r="Y671" s="40" t="str">
        <f t="array" ref="Y671">IF('STANDAR RESEP'!A699="", "", TRANSPOSE(INDIRECT(SUBSTITUTE(SUBSTITUTE(SUBSTITUTE('STANDAR RESEP'!A699, " ", "_"), "(", ""), ")", ""))))</f>
        <v/>
      </c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39"/>
      <c r="X672" s="17"/>
      <c r="Y672" s="40" t="str">
        <f t="array" ref="Y672">IF('STANDAR RESEP'!A700="", "", TRANSPOSE(INDIRECT(SUBSTITUTE(SUBSTITUTE(SUBSTITUTE('STANDAR RESEP'!A700, " ", "_"), "(", ""), ")", ""))))</f>
        <v/>
      </c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39"/>
      <c r="X673" s="17"/>
      <c r="Y673" s="40" t="str">
        <f t="array" ref="Y673">IF('STANDAR RESEP'!A701="", "", TRANSPOSE(INDIRECT(SUBSTITUTE(SUBSTITUTE(SUBSTITUTE('STANDAR RESEP'!A701, " ", "_"), "(", ""), ")", ""))))</f>
        <v/>
      </c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39"/>
      <c r="X674" s="17"/>
      <c r="Y674" s="40" t="str">
        <f t="array" ref="Y674">IF('STANDAR RESEP'!A702="", "", TRANSPOSE(INDIRECT(SUBSTITUTE(SUBSTITUTE(SUBSTITUTE('STANDAR RESEP'!A702, " ", "_"), "(", ""), ")", ""))))</f>
        <v/>
      </c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39"/>
      <c r="X675" s="17"/>
      <c r="Y675" s="40" t="str">
        <f t="array" ref="Y675">IF('STANDAR RESEP'!A703="", "", TRANSPOSE(INDIRECT(SUBSTITUTE(SUBSTITUTE(SUBSTITUTE('STANDAR RESEP'!A703, " ", "_"), "(", ""), ")", ""))))</f>
        <v/>
      </c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39"/>
      <c r="X676" s="17"/>
      <c r="Y676" s="40" t="str">
        <f t="array" ref="Y676">IF('STANDAR RESEP'!A704="", "", TRANSPOSE(INDIRECT(SUBSTITUTE(SUBSTITUTE(SUBSTITUTE('STANDAR RESEP'!A704, " ", "_"), "(", ""), ")", ""))))</f>
        <v/>
      </c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39"/>
      <c r="X677" s="17"/>
      <c r="Y677" s="40" t="str">
        <f t="array" ref="Y677">IF('STANDAR RESEP'!A705="", "", TRANSPOSE(INDIRECT(SUBSTITUTE(SUBSTITUTE(SUBSTITUTE('STANDAR RESEP'!A705, " ", "_"), "(", ""), ")", ""))))</f>
        <v/>
      </c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39"/>
      <c r="X678" s="17"/>
      <c r="Y678" s="40" t="str">
        <f t="array" ref="Y678">IF('STANDAR RESEP'!A706="", "", TRANSPOSE(INDIRECT(SUBSTITUTE(SUBSTITUTE(SUBSTITUTE('STANDAR RESEP'!A706, " ", "_"), "(", ""), ")", ""))))</f>
        <v/>
      </c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39"/>
      <c r="X679" s="17"/>
      <c r="Y679" s="40" t="str">
        <f t="array" ref="Y679">IF('STANDAR RESEP'!A707="", "", TRANSPOSE(INDIRECT(SUBSTITUTE(SUBSTITUTE(SUBSTITUTE('STANDAR RESEP'!A707, " ", "_"), "(", ""), ")", ""))))</f>
        <v/>
      </c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39"/>
      <c r="X680" s="17"/>
      <c r="Y680" s="40" t="str">
        <f t="array" ref="Y680">IF('STANDAR RESEP'!A708="", "", TRANSPOSE(INDIRECT(SUBSTITUTE(SUBSTITUTE(SUBSTITUTE('STANDAR RESEP'!A708, " ", "_"), "(", ""), ")", ""))))</f>
        <v/>
      </c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39"/>
      <c r="X681" s="17"/>
      <c r="Y681" s="40" t="str">
        <f t="array" ref="Y681">IF('STANDAR RESEP'!A709="", "", TRANSPOSE(INDIRECT(SUBSTITUTE(SUBSTITUTE(SUBSTITUTE('STANDAR RESEP'!A709, " ", "_"), "(", ""), ")", ""))))</f>
        <v/>
      </c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39"/>
      <c r="X682" s="17"/>
      <c r="Y682" s="40" t="str">
        <f t="array" ref="Y682">IF('STANDAR RESEP'!A710="", "", TRANSPOSE(INDIRECT(SUBSTITUTE(SUBSTITUTE(SUBSTITUTE('STANDAR RESEP'!A710, " ", "_"), "(", ""), ")", ""))))</f>
        <v/>
      </c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39"/>
      <c r="X683" s="17"/>
      <c r="Y683" s="40" t="str">
        <f t="array" ref="Y683">IF('STANDAR RESEP'!A711="", "", TRANSPOSE(INDIRECT(SUBSTITUTE(SUBSTITUTE(SUBSTITUTE('STANDAR RESEP'!A711, " ", "_"), "(", ""), ")", ""))))</f>
        <v/>
      </c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39"/>
      <c r="X684" s="17"/>
      <c r="Y684" s="40" t="str">
        <f t="array" ref="Y684">IF('STANDAR RESEP'!A712="", "", TRANSPOSE(INDIRECT(SUBSTITUTE(SUBSTITUTE(SUBSTITUTE('STANDAR RESEP'!A712, " ", "_"), "(", ""), ")", ""))))</f>
        <v/>
      </c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39"/>
      <c r="X685" s="17"/>
      <c r="Y685" s="40" t="str">
        <f t="array" ref="Y685">IF('STANDAR RESEP'!A713="", "", TRANSPOSE(INDIRECT(SUBSTITUTE(SUBSTITUTE(SUBSTITUTE('STANDAR RESEP'!A713, " ", "_"), "(", ""), ")", ""))))</f>
        <v/>
      </c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39"/>
      <c r="X686" s="17"/>
      <c r="Y686" s="40" t="str">
        <f t="array" ref="Y686">IF('STANDAR RESEP'!A714="", "", TRANSPOSE(INDIRECT(SUBSTITUTE(SUBSTITUTE(SUBSTITUTE('STANDAR RESEP'!A714, " ", "_"), "(", ""), ")", ""))))</f>
        <v/>
      </c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39"/>
      <c r="X687" s="17"/>
      <c r="Y687" s="40" t="str">
        <f t="array" ref="Y687">IF('STANDAR RESEP'!A715="", "", TRANSPOSE(INDIRECT(SUBSTITUTE(SUBSTITUTE(SUBSTITUTE('STANDAR RESEP'!A715, " ", "_"), "(", ""), ")", ""))))</f>
        <v/>
      </c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39"/>
      <c r="X688" s="17"/>
      <c r="Y688" s="40" t="str">
        <f t="array" ref="Y688">IF('STANDAR RESEP'!A716="", "", TRANSPOSE(INDIRECT(SUBSTITUTE(SUBSTITUTE(SUBSTITUTE('STANDAR RESEP'!A716, " ", "_"), "(", ""), ")", ""))))</f>
        <v/>
      </c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39"/>
      <c r="X689" s="17"/>
      <c r="Y689" s="40" t="str">
        <f t="array" ref="Y689">IF('STANDAR RESEP'!A717="", "", TRANSPOSE(INDIRECT(SUBSTITUTE(SUBSTITUTE(SUBSTITUTE('STANDAR RESEP'!A717, " ", "_"), "(", ""), ")", ""))))</f>
        <v/>
      </c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39"/>
      <c r="X690" s="17"/>
      <c r="Y690" s="40" t="str">
        <f t="array" ref="Y690">IF('STANDAR RESEP'!A718="", "", TRANSPOSE(INDIRECT(SUBSTITUTE(SUBSTITUTE(SUBSTITUTE('STANDAR RESEP'!A718, " ", "_"), "(", ""), ")", ""))))</f>
        <v/>
      </c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39"/>
      <c r="X691" s="17"/>
      <c r="Y691" s="40" t="str">
        <f t="array" ref="Y691">IF('STANDAR RESEP'!A719="", "", TRANSPOSE(INDIRECT(SUBSTITUTE(SUBSTITUTE(SUBSTITUTE('STANDAR RESEP'!A719, " ", "_"), "(", ""), ")", ""))))</f>
        <v/>
      </c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39"/>
      <c r="X692" s="17"/>
      <c r="Y692" s="40" t="str">
        <f t="array" ref="Y692">IF('STANDAR RESEP'!A720="", "", TRANSPOSE(INDIRECT(SUBSTITUTE(SUBSTITUTE(SUBSTITUTE('STANDAR RESEP'!A720, " ", "_"), "(", ""), ")", ""))))</f>
        <v/>
      </c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39"/>
      <c r="X693" s="17"/>
      <c r="Y693" s="40" t="str">
        <f t="array" ref="Y693">IF('STANDAR RESEP'!A721="", "", TRANSPOSE(INDIRECT(SUBSTITUTE(SUBSTITUTE(SUBSTITUTE('STANDAR RESEP'!A721, " ", "_"), "(", ""), ")", ""))))</f>
        <v/>
      </c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39"/>
      <c r="X694" s="17"/>
      <c r="Y694" s="40" t="str">
        <f t="array" ref="Y694">IF('STANDAR RESEP'!A722="", "", TRANSPOSE(INDIRECT(SUBSTITUTE(SUBSTITUTE(SUBSTITUTE('STANDAR RESEP'!A722, " ", "_"), "(", ""), ")", ""))))</f>
        <v/>
      </c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39"/>
      <c r="X695" s="17"/>
      <c r="Y695" s="40" t="str">
        <f t="array" ref="Y695">IF('STANDAR RESEP'!A723="", "", TRANSPOSE(INDIRECT(SUBSTITUTE(SUBSTITUTE(SUBSTITUTE('STANDAR RESEP'!A723, " ", "_"), "(", ""), ")", ""))))</f>
        <v/>
      </c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39"/>
      <c r="X696" s="17"/>
      <c r="Y696" s="40" t="str">
        <f t="array" ref="Y696">IF('STANDAR RESEP'!A724="", "", TRANSPOSE(INDIRECT(SUBSTITUTE(SUBSTITUTE(SUBSTITUTE('STANDAR RESEP'!A724, " ", "_"), "(", ""), ")", ""))))</f>
        <v/>
      </c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39"/>
      <c r="X697" s="17"/>
      <c r="Y697" s="40" t="str">
        <f t="array" ref="Y697">IF('STANDAR RESEP'!A725="", "", TRANSPOSE(INDIRECT(SUBSTITUTE(SUBSTITUTE(SUBSTITUTE('STANDAR RESEP'!A725, " ", "_"), "(", ""), ")", ""))))</f>
        <v/>
      </c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39"/>
      <c r="X698" s="17"/>
      <c r="Y698" s="40" t="str">
        <f t="array" ref="Y698">IF('STANDAR RESEP'!A726="", "", TRANSPOSE(INDIRECT(SUBSTITUTE(SUBSTITUTE(SUBSTITUTE('STANDAR RESEP'!A726, " ", "_"), "(", ""), ")", ""))))</f>
        <v/>
      </c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39"/>
      <c r="X699" s="17"/>
      <c r="Y699" s="40" t="str">
        <f t="array" ref="Y699">IF('STANDAR RESEP'!A727="", "", TRANSPOSE(INDIRECT(SUBSTITUTE(SUBSTITUTE(SUBSTITUTE('STANDAR RESEP'!A727, " ", "_"), "(", ""), ")", ""))))</f>
        <v/>
      </c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39"/>
      <c r="X700" s="17"/>
      <c r="Y700" s="40" t="str">
        <f t="array" ref="Y700">IF('STANDAR RESEP'!A728="", "", TRANSPOSE(INDIRECT(SUBSTITUTE(SUBSTITUTE(SUBSTITUTE('STANDAR RESEP'!A728, " ", "_"), "(", ""), ")", ""))))</f>
        <v/>
      </c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39"/>
      <c r="X701" s="17"/>
      <c r="Y701" s="40" t="str">
        <f t="array" ref="Y701">IF('STANDAR RESEP'!A729="", "", TRANSPOSE(INDIRECT(SUBSTITUTE(SUBSTITUTE(SUBSTITUTE('STANDAR RESEP'!A729, " ", "_"), "(", ""), ")", ""))))</f>
        <v/>
      </c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39"/>
      <c r="X702" s="17"/>
      <c r="Y702" s="40" t="str">
        <f t="array" ref="Y702">IF('STANDAR RESEP'!A730="", "", TRANSPOSE(INDIRECT(SUBSTITUTE(SUBSTITUTE(SUBSTITUTE('STANDAR RESEP'!A730, " ", "_"), "(", ""), ")", ""))))</f>
        <v/>
      </c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39"/>
      <c r="X703" s="17"/>
      <c r="Y703" s="40" t="str">
        <f t="array" ref="Y703">IF('STANDAR RESEP'!A731="", "", TRANSPOSE(INDIRECT(SUBSTITUTE(SUBSTITUTE(SUBSTITUTE('STANDAR RESEP'!A731, " ", "_"), "(", ""), ")", ""))))</f>
        <v/>
      </c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39"/>
      <c r="X704" s="17"/>
      <c r="Y704" s="40" t="str">
        <f t="array" ref="Y704">IF('STANDAR RESEP'!A732="", "", TRANSPOSE(INDIRECT(SUBSTITUTE(SUBSTITUTE(SUBSTITUTE('STANDAR RESEP'!A732, " ", "_"), "(", ""), ")", ""))))</f>
        <v/>
      </c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39"/>
      <c r="X705" s="17"/>
      <c r="Y705" s="40" t="str">
        <f t="array" ref="Y705">IF('STANDAR RESEP'!A733="", "", TRANSPOSE(INDIRECT(SUBSTITUTE(SUBSTITUTE(SUBSTITUTE('STANDAR RESEP'!A733, " ", "_"), "(", ""), ")", ""))))</f>
        <v/>
      </c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39"/>
      <c r="X706" s="17"/>
      <c r="Y706" s="40" t="str">
        <f t="array" ref="Y706">IF('STANDAR RESEP'!A734="", "", TRANSPOSE(INDIRECT(SUBSTITUTE(SUBSTITUTE(SUBSTITUTE('STANDAR RESEP'!A734, " ", "_"), "(", ""), ")", ""))))</f>
        <v/>
      </c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39"/>
      <c r="X707" s="17"/>
      <c r="Y707" s="40" t="str">
        <f t="array" ref="Y707">IF('STANDAR RESEP'!A735="", "", TRANSPOSE(INDIRECT(SUBSTITUTE(SUBSTITUTE(SUBSTITUTE('STANDAR RESEP'!A735, " ", "_"), "(", ""), ")", ""))))</f>
        <v/>
      </c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39"/>
      <c r="X708" s="17"/>
      <c r="Y708" s="40" t="str">
        <f t="array" ref="Y708">IF('STANDAR RESEP'!A736="", "", TRANSPOSE(INDIRECT(SUBSTITUTE(SUBSTITUTE(SUBSTITUTE('STANDAR RESEP'!A736, " ", "_"), "(", ""), ")", ""))))</f>
        <v/>
      </c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39"/>
      <c r="X709" s="17"/>
      <c r="Y709" s="40" t="str">
        <f t="array" ref="Y709">IF('STANDAR RESEP'!A737="", "", TRANSPOSE(INDIRECT(SUBSTITUTE(SUBSTITUTE(SUBSTITUTE('STANDAR RESEP'!A737, " ", "_"), "(", ""), ")", ""))))</f>
        <v/>
      </c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39"/>
      <c r="X710" s="17"/>
      <c r="Y710" s="40" t="str">
        <f t="array" ref="Y710">IF('STANDAR RESEP'!A738="", "", TRANSPOSE(INDIRECT(SUBSTITUTE(SUBSTITUTE(SUBSTITUTE('STANDAR RESEP'!A738, " ", "_"), "(", ""), ")", ""))))</f>
        <v/>
      </c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39"/>
      <c r="X711" s="17"/>
      <c r="Y711" s="40" t="str">
        <f t="array" ref="Y711">IF('STANDAR RESEP'!A739="", "", TRANSPOSE(INDIRECT(SUBSTITUTE(SUBSTITUTE(SUBSTITUTE('STANDAR RESEP'!A739, " ", "_"), "(", ""), ")", ""))))</f>
        <v/>
      </c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39"/>
      <c r="X712" s="17"/>
      <c r="Y712" s="40" t="str">
        <f t="array" ref="Y712">IF('STANDAR RESEP'!A740="", "", TRANSPOSE(INDIRECT(SUBSTITUTE(SUBSTITUTE(SUBSTITUTE('STANDAR RESEP'!A740, " ", "_"), "(", ""), ")", ""))))</f>
        <v/>
      </c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39"/>
      <c r="X713" s="17"/>
      <c r="Y713" s="40" t="str">
        <f t="array" ref="Y713">IF('STANDAR RESEP'!A741="", "", TRANSPOSE(INDIRECT(SUBSTITUTE(SUBSTITUTE(SUBSTITUTE('STANDAR RESEP'!A741, " ", "_"), "(", ""), ")", ""))))</f>
        <v/>
      </c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39"/>
      <c r="X714" s="17"/>
      <c r="Y714" s="40" t="str">
        <f t="array" ref="Y714">IF('STANDAR RESEP'!A742="", "", TRANSPOSE(INDIRECT(SUBSTITUTE(SUBSTITUTE(SUBSTITUTE('STANDAR RESEP'!A742, " ", "_"), "(", ""), ")", ""))))</f>
        <v/>
      </c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39"/>
      <c r="X715" s="17"/>
      <c r="Y715" s="40" t="str">
        <f t="array" ref="Y715">IF('STANDAR RESEP'!A743="", "", TRANSPOSE(INDIRECT(SUBSTITUTE(SUBSTITUTE(SUBSTITUTE('STANDAR RESEP'!A743, " ", "_"), "(", ""), ")", ""))))</f>
        <v/>
      </c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39"/>
      <c r="X716" s="17"/>
      <c r="Y716" s="40" t="str">
        <f t="array" ref="Y716">IF('STANDAR RESEP'!A744="", "", TRANSPOSE(INDIRECT(SUBSTITUTE(SUBSTITUTE(SUBSTITUTE('STANDAR RESEP'!A744, " ", "_"), "(", ""), ")", ""))))</f>
        <v/>
      </c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39"/>
      <c r="X717" s="17"/>
      <c r="Y717" s="40" t="str">
        <f t="array" ref="Y717">IF('STANDAR RESEP'!A745="", "", TRANSPOSE(INDIRECT(SUBSTITUTE(SUBSTITUTE(SUBSTITUTE('STANDAR RESEP'!A745, " ", "_"), "(", ""), ")", ""))))</f>
        <v/>
      </c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39"/>
      <c r="X718" s="17"/>
      <c r="Y718" s="40" t="str">
        <f t="array" ref="Y718">IF('STANDAR RESEP'!A746="", "", TRANSPOSE(INDIRECT(SUBSTITUTE(SUBSTITUTE(SUBSTITUTE('STANDAR RESEP'!A746, " ", "_"), "(", ""), ")", ""))))</f>
        <v/>
      </c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39"/>
      <c r="X719" s="17"/>
      <c r="Y719" s="40" t="str">
        <f t="array" ref="Y719">IF('STANDAR RESEP'!A747="", "", TRANSPOSE(INDIRECT(SUBSTITUTE(SUBSTITUTE(SUBSTITUTE('STANDAR RESEP'!A747, " ", "_"), "(", ""), ")", ""))))</f>
        <v/>
      </c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39"/>
      <c r="X720" s="17"/>
      <c r="Y720" s="40" t="str">
        <f t="array" ref="Y720">IF('STANDAR RESEP'!A748="", "", TRANSPOSE(INDIRECT(SUBSTITUTE(SUBSTITUTE(SUBSTITUTE('STANDAR RESEP'!A748, " ", "_"), "(", ""), ")", ""))))</f>
        <v/>
      </c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39"/>
      <c r="X721" s="17"/>
      <c r="Y721" s="40" t="str">
        <f t="array" ref="Y721">IF('STANDAR RESEP'!A749="", "", TRANSPOSE(INDIRECT(SUBSTITUTE(SUBSTITUTE(SUBSTITUTE('STANDAR RESEP'!A749, " ", "_"), "(", ""), ")", ""))))</f>
        <v/>
      </c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39"/>
      <c r="X722" s="17"/>
      <c r="Y722" s="40" t="str">
        <f t="array" ref="Y722">IF('STANDAR RESEP'!A750="", "", TRANSPOSE(INDIRECT(SUBSTITUTE(SUBSTITUTE(SUBSTITUTE('STANDAR RESEP'!A750, " ", "_"), "(", ""), ")", ""))))</f>
        <v/>
      </c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39"/>
      <c r="X723" s="17"/>
      <c r="Y723" s="40" t="str">
        <f t="array" ref="Y723">IF('STANDAR RESEP'!A751="", "", TRANSPOSE(INDIRECT(SUBSTITUTE(SUBSTITUTE(SUBSTITUTE('STANDAR RESEP'!A751, " ", "_"), "(", ""), ")", ""))))</f>
        <v/>
      </c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39"/>
      <c r="X724" s="17"/>
      <c r="Y724" s="40" t="str">
        <f t="array" ref="Y724">IF('STANDAR RESEP'!A752="", "", TRANSPOSE(INDIRECT(SUBSTITUTE(SUBSTITUTE(SUBSTITUTE('STANDAR RESEP'!A752, " ", "_"), "(", ""), ")", ""))))</f>
        <v/>
      </c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39"/>
      <c r="X725" s="17"/>
      <c r="Y725" s="40" t="str">
        <f t="array" ref="Y725">IF('STANDAR RESEP'!A753="", "", TRANSPOSE(INDIRECT(SUBSTITUTE(SUBSTITUTE(SUBSTITUTE('STANDAR RESEP'!A753, " ", "_"), "(", ""), ")", ""))))</f>
        <v/>
      </c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39"/>
      <c r="X726" s="17"/>
      <c r="Y726" s="40" t="str">
        <f t="array" ref="Y726">IF('STANDAR RESEP'!A754="", "", TRANSPOSE(INDIRECT(SUBSTITUTE(SUBSTITUTE(SUBSTITUTE('STANDAR RESEP'!A754, " ", "_"), "(", ""), ")", ""))))</f>
        <v/>
      </c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39"/>
      <c r="X727" s="17"/>
      <c r="Y727" s="40" t="str">
        <f t="array" ref="Y727">IF('STANDAR RESEP'!A755="", "", TRANSPOSE(INDIRECT(SUBSTITUTE(SUBSTITUTE(SUBSTITUTE('STANDAR RESEP'!A755, " ", "_"), "(", ""), ")", ""))))</f>
        <v/>
      </c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39"/>
      <c r="X728" s="17"/>
      <c r="Y728" s="40" t="str">
        <f t="array" ref="Y728">IF('STANDAR RESEP'!A756="", "", TRANSPOSE(INDIRECT(SUBSTITUTE(SUBSTITUTE(SUBSTITUTE('STANDAR RESEP'!A756, " ", "_"), "(", ""), ")", ""))))</f>
        <v/>
      </c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39"/>
      <c r="X729" s="17"/>
      <c r="Y729" s="40" t="str">
        <f t="array" ref="Y729">IF('STANDAR RESEP'!A757="", "", TRANSPOSE(INDIRECT(SUBSTITUTE(SUBSTITUTE(SUBSTITUTE('STANDAR RESEP'!A757, " ", "_"), "(", ""), ")", ""))))</f>
        <v/>
      </c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39"/>
      <c r="X730" s="17"/>
      <c r="Y730" s="40" t="str">
        <f t="array" ref="Y730">IF('STANDAR RESEP'!A758="", "", TRANSPOSE(INDIRECT(SUBSTITUTE(SUBSTITUTE(SUBSTITUTE('STANDAR RESEP'!A758, " ", "_"), "(", ""), ")", ""))))</f>
        <v/>
      </c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39"/>
      <c r="X731" s="17"/>
      <c r="Y731" s="40" t="str">
        <f t="array" ref="Y731">IF('STANDAR RESEP'!A759="", "", TRANSPOSE(INDIRECT(SUBSTITUTE(SUBSTITUTE(SUBSTITUTE('STANDAR RESEP'!A759, " ", "_"), "(", ""), ")", ""))))</f>
        <v/>
      </c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39"/>
      <c r="X732" s="17"/>
      <c r="Y732" s="40" t="str">
        <f t="array" ref="Y732">IF('STANDAR RESEP'!A760="", "", TRANSPOSE(INDIRECT(SUBSTITUTE(SUBSTITUTE(SUBSTITUTE('STANDAR RESEP'!A760, " ", "_"), "(", ""), ")", ""))))</f>
        <v/>
      </c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39"/>
      <c r="X733" s="17"/>
      <c r="Y733" s="40" t="str">
        <f t="array" ref="Y733">IF('STANDAR RESEP'!A761="", "", TRANSPOSE(INDIRECT(SUBSTITUTE(SUBSTITUTE(SUBSTITUTE('STANDAR RESEP'!A761, " ", "_"), "(", ""), ")", ""))))</f>
        <v/>
      </c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39"/>
      <c r="X734" s="17"/>
      <c r="Y734" s="40" t="str">
        <f t="array" ref="Y734">IF('STANDAR RESEP'!A762="", "", TRANSPOSE(INDIRECT(SUBSTITUTE(SUBSTITUTE(SUBSTITUTE('STANDAR RESEP'!A762, " ", "_"), "(", ""), ")", ""))))</f>
        <v/>
      </c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39"/>
      <c r="X735" s="17"/>
      <c r="Y735" s="40" t="str">
        <f t="array" ref="Y735">IF('STANDAR RESEP'!A763="", "", TRANSPOSE(INDIRECT(SUBSTITUTE(SUBSTITUTE(SUBSTITUTE('STANDAR RESEP'!A763, " ", "_"), "(", ""), ")", ""))))</f>
        <v/>
      </c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39"/>
      <c r="X736" s="17"/>
      <c r="Y736" s="40" t="str">
        <f t="array" ref="Y736">IF('STANDAR RESEP'!A764="", "", TRANSPOSE(INDIRECT(SUBSTITUTE(SUBSTITUTE(SUBSTITUTE('STANDAR RESEP'!A764, " ", "_"), "(", ""), ")", ""))))</f>
        <v/>
      </c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39"/>
      <c r="X737" s="17"/>
      <c r="Y737" s="40" t="str">
        <f t="array" ref="Y737">IF('STANDAR RESEP'!A765="", "", TRANSPOSE(INDIRECT(SUBSTITUTE(SUBSTITUTE(SUBSTITUTE('STANDAR RESEP'!A765, " ", "_"), "(", ""), ")", ""))))</f>
        <v/>
      </c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39"/>
      <c r="X738" s="17"/>
      <c r="Y738" s="40" t="str">
        <f t="array" ref="Y738">IF('STANDAR RESEP'!A766="", "", TRANSPOSE(INDIRECT(SUBSTITUTE(SUBSTITUTE(SUBSTITUTE('STANDAR RESEP'!A766, " ", "_"), "(", ""), ")", ""))))</f>
        <v/>
      </c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39"/>
      <c r="X739" s="17"/>
      <c r="Y739" s="40" t="str">
        <f t="array" ref="Y739">IF('STANDAR RESEP'!A767="", "", TRANSPOSE(INDIRECT(SUBSTITUTE(SUBSTITUTE(SUBSTITUTE('STANDAR RESEP'!A767, " ", "_"), "(", ""), ")", ""))))</f>
        <v/>
      </c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39"/>
      <c r="X740" s="17"/>
      <c r="Y740" s="40" t="str">
        <f t="array" ref="Y740">IF('STANDAR RESEP'!A768="", "", TRANSPOSE(INDIRECT(SUBSTITUTE(SUBSTITUTE(SUBSTITUTE('STANDAR RESEP'!A768, " ", "_"), "(", ""), ")", ""))))</f>
        <v/>
      </c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39"/>
      <c r="X741" s="17"/>
      <c r="Y741" s="40" t="str">
        <f t="array" ref="Y741">IF('STANDAR RESEP'!A769="", "", TRANSPOSE(INDIRECT(SUBSTITUTE(SUBSTITUTE(SUBSTITUTE('STANDAR RESEP'!A769, " ", "_"), "(", ""), ")", ""))))</f>
        <v/>
      </c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39"/>
      <c r="X742" s="17"/>
      <c r="Y742" s="40" t="str">
        <f t="array" ref="Y742">IF('STANDAR RESEP'!A770="", "", TRANSPOSE(INDIRECT(SUBSTITUTE(SUBSTITUTE(SUBSTITUTE('STANDAR RESEP'!A770, " ", "_"), "(", ""), ")", ""))))</f>
        <v/>
      </c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39"/>
      <c r="X743" s="17"/>
      <c r="Y743" s="40" t="str">
        <f t="array" ref="Y743">IF('STANDAR RESEP'!A771="", "", TRANSPOSE(INDIRECT(SUBSTITUTE(SUBSTITUTE(SUBSTITUTE('STANDAR RESEP'!A771, " ", "_"), "(", ""), ")", ""))))</f>
        <v/>
      </c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39"/>
      <c r="X744" s="17"/>
      <c r="Y744" s="40" t="str">
        <f t="array" ref="Y744">IF('STANDAR RESEP'!A772="", "", TRANSPOSE(INDIRECT(SUBSTITUTE(SUBSTITUTE(SUBSTITUTE('STANDAR RESEP'!A772, " ", "_"), "(", ""), ")", ""))))</f>
        <v/>
      </c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39"/>
      <c r="X745" s="17"/>
      <c r="Y745" s="40" t="str">
        <f t="array" ref="Y745">IF('STANDAR RESEP'!A773="", "", TRANSPOSE(INDIRECT(SUBSTITUTE(SUBSTITUTE(SUBSTITUTE('STANDAR RESEP'!A773, " ", "_"), "(", ""), ")", ""))))</f>
        <v/>
      </c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39"/>
      <c r="X746" s="17"/>
      <c r="Y746" s="40" t="str">
        <f t="array" ref="Y746">IF('STANDAR RESEP'!A774="", "", TRANSPOSE(INDIRECT(SUBSTITUTE(SUBSTITUTE(SUBSTITUTE('STANDAR RESEP'!A774, " ", "_"), "(", ""), ")", ""))))</f>
        <v/>
      </c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39"/>
      <c r="X747" s="17"/>
      <c r="Y747" s="40" t="str">
        <f t="array" ref="Y747">IF('STANDAR RESEP'!A775="", "", TRANSPOSE(INDIRECT(SUBSTITUTE(SUBSTITUTE(SUBSTITUTE('STANDAR RESEP'!A775, " ", "_"), "(", ""), ")", ""))))</f>
        <v/>
      </c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39"/>
      <c r="X748" s="17"/>
      <c r="Y748" s="40" t="str">
        <f t="array" ref="Y748">IF('STANDAR RESEP'!A776="", "", TRANSPOSE(INDIRECT(SUBSTITUTE(SUBSTITUTE(SUBSTITUTE('STANDAR RESEP'!A776, " ", "_"), "(", ""), ")", ""))))</f>
        <v/>
      </c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39"/>
      <c r="X749" s="17"/>
      <c r="Y749" s="40" t="str">
        <f t="array" ref="Y749">IF('STANDAR RESEP'!A777="", "", TRANSPOSE(INDIRECT(SUBSTITUTE(SUBSTITUTE(SUBSTITUTE('STANDAR RESEP'!A777, " ", "_"), "(", ""), ")", ""))))</f>
        <v/>
      </c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39"/>
      <c r="X750" s="17"/>
      <c r="Y750" s="40" t="str">
        <f t="array" ref="Y750">IF('STANDAR RESEP'!A778="", "", TRANSPOSE(INDIRECT(SUBSTITUTE(SUBSTITUTE(SUBSTITUTE('STANDAR RESEP'!A778, " ", "_"), "(", ""), ")", ""))))</f>
        <v/>
      </c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39"/>
      <c r="X751" s="17"/>
      <c r="Y751" s="40" t="str">
        <f t="array" ref="Y751">IF('STANDAR RESEP'!A779="", "", TRANSPOSE(INDIRECT(SUBSTITUTE(SUBSTITUTE(SUBSTITUTE('STANDAR RESEP'!A779, " ", "_"), "(", ""), ")", ""))))</f>
        <v/>
      </c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39"/>
      <c r="X752" s="17"/>
      <c r="Y752" s="40" t="str">
        <f t="array" ref="Y752">IF('STANDAR RESEP'!A780="", "", TRANSPOSE(INDIRECT(SUBSTITUTE(SUBSTITUTE(SUBSTITUTE('STANDAR RESEP'!A780, " ", "_"), "(", ""), ")", ""))))</f>
        <v/>
      </c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39"/>
      <c r="X753" s="17"/>
      <c r="Y753" s="40" t="str">
        <f t="array" ref="Y753">IF('STANDAR RESEP'!A781="", "", TRANSPOSE(INDIRECT(SUBSTITUTE(SUBSTITUTE(SUBSTITUTE('STANDAR RESEP'!A781, " ", "_"), "(", ""), ")", ""))))</f>
        <v/>
      </c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39"/>
      <c r="X754" s="17"/>
      <c r="Y754" s="40" t="str">
        <f t="array" ref="Y754">IF('STANDAR RESEP'!A782="", "", TRANSPOSE(INDIRECT(SUBSTITUTE(SUBSTITUTE(SUBSTITUTE('STANDAR RESEP'!A782, " ", "_"), "(", ""), ")", ""))))</f>
        <v/>
      </c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39"/>
      <c r="X755" s="17"/>
      <c r="Y755" s="40" t="str">
        <f t="array" ref="Y755">IF('STANDAR RESEP'!A783="", "", TRANSPOSE(INDIRECT(SUBSTITUTE(SUBSTITUTE(SUBSTITUTE('STANDAR RESEP'!A783, " ", "_"), "(", ""), ")", ""))))</f>
        <v/>
      </c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39"/>
      <c r="X756" s="17"/>
      <c r="Y756" s="40" t="str">
        <f t="array" ref="Y756">IF('STANDAR RESEP'!A784="", "", TRANSPOSE(INDIRECT(SUBSTITUTE(SUBSTITUTE(SUBSTITUTE('STANDAR RESEP'!A784, " ", "_"), "(", ""), ")", ""))))</f>
        <v/>
      </c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39"/>
      <c r="X757" s="17"/>
      <c r="Y757" s="40" t="str">
        <f t="array" ref="Y757">IF('STANDAR RESEP'!A785="", "", TRANSPOSE(INDIRECT(SUBSTITUTE(SUBSTITUTE(SUBSTITUTE('STANDAR RESEP'!A785, " ", "_"), "(", ""), ")", ""))))</f>
        <v/>
      </c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39"/>
      <c r="X758" s="17"/>
      <c r="Y758" s="40" t="str">
        <f t="array" ref="Y758">IF('STANDAR RESEP'!A786="", "", TRANSPOSE(INDIRECT(SUBSTITUTE(SUBSTITUTE(SUBSTITUTE('STANDAR RESEP'!A786, " ", "_"), "(", ""), ")", ""))))</f>
        <v/>
      </c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39"/>
      <c r="X759" s="17"/>
      <c r="Y759" s="40" t="str">
        <f t="array" ref="Y759">IF('STANDAR RESEP'!A787="", "", TRANSPOSE(INDIRECT(SUBSTITUTE(SUBSTITUTE(SUBSTITUTE('STANDAR RESEP'!A787, " ", "_"), "(", ""), ")", ""))))</f>
        <v/>
      </c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39"/>
      <c r="X760" s="17"/>
      <c r="Y760" s="40" t="str">
        <f t="array" ref="Y760">IF('STANDAR RESEP'!A788="", "", TRANSPOSE(INDIRECT(SUBSTITUTE(SUBSTITUTE(SUBSTITUTE('STANDAR RESEP'!A788, " ", "_"), "(", ""), ")", ""))))</f>
        <v/>
      </c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39"/>
      <c r="X761" s="17"/>
      <c r="Y761" s="40" t="str">
        <f t="array" ref="Y761">IF('STANDAR RESEP'!A789="", "", TRANSPOSE(INDIRECT(SUBSTITUTE(SUBSTITUTE(SUBSTITUTE('STANDAR RESEP'!A789, " ", "_"), "(", ""), ")", ""))))</f>
        <v/>
      </c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39"/>
      <c r="X762" s="17"/>
      <c r="Y762" s="40" t="str">
        <f t="array" ref="Y762">IF('STANDAR RESEP'!A790="", "", TRANSPOSE(INDIRECT(SUBSTITUTE(SUBSTITUTE(SUBSTITUTE('STANDAR RESEP'!A790, " ", "_"), "(", ""), ")", ""))))</f>
        <v/>
      </c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39"/>
      <c r="X763" s="17"/>
      <c r="Y763" s="40" t="str">
        <f t="array" ref="Y763">IF('STANDAR RESEP'!A791="", "", TRANSPOSE(INDIRECT(SUBSTITUTE(SUBSTITUTE(SUBSTITUTE('STANDAR RESEP'!A791, " ", "_"), "(", ""), ")", ""))))</f>
        <v/>
      </c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39"/>
      <c r="X764" s="17"/>
      <c r="Y764" s="40" t="str">
        <f t="array" ref="Y764">IF('STANDAR RESEP'!A792="", "", TRANSPOSE(INDIRECT(SUBSTITUTE(SUBSTITUTE(SUBSTITUTE('STANDAR RESEP'!A792, " ", "_"), "(", ""), ")", ""))))</f>
        <v/>
      </c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39"/>
      <c r="X765" s="17"/>
      <c r="Y765" s="40" t="str">
        <f t="array" ref="Y765">IF('STANDAR RESEP'!A793="", "", TRANSPOSE(INDIRECT(SUBSTITUTE(SUBSTITUTE(SUBSTITUTE('STANDAR RESEP'!A793, " ", "_"), "(", ""), ")", ""))))</f>
        <v/>
      </c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39"/>
      <c r="X766" s="17"/>
      <c r="Y766" s="40" t="str">
        <f t="array" ref="Y766">IF('STANDAR RESEP'!A794="", "", TRANSPOSE(INDIRECT(SUBSTITUTE(SUBSTITUTE(SUBSTITUTE('STANDAR RESEP'!A794, " ", "_"), "(", ""), ")", ""))))</f>
        <v/>
      </c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39"/>
      <c r="X767" s="17"/>
      <c r="Y767" s="40" t="str">
        <f t="array" ref="Y767">IF('STANDAR RESEP'!A795="", "", TRANSPOSE(INDIRECT(SUBSTITUTE(SUBSTITUTE(SUBSTITUTE('STANDAR RESEP'!A795, " ", "_"), "(", ""), ")", ""))))</f>
        <v/>
      </c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39"/>
      <c r="X768" s="17"/>
      <c r="Y768" s="40" t="str">
        <f t="array" ref="Y768">IF('STANDAR RESEP'!A796="", "", TRANSPOSE(INDIRECT(SUBSTITUTE(SUBSTITUTE(SUBSTITUTE('STANDAR RESEP'!A796, " ", "_"), "(", ""), ")", ""))))</f>
        <v/>
      </c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39"/>
      <c r="X769" s="17"/>
      <c r="Y769" s="40" t="str">
        <f t="array" ref="Y769">IF('STANDAR RESEP'!A797="", "", TRANSPOSE(INDIRECT(SUBSTITUTE(SUBSTITUTE(SUBSTITUTE('STANDAR RESEP'!A797, " ", "_"), "(", ""), ")", ""))))</f>
        <v/>
      </c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39"/>
      <c r="X770" s="17"/>
      <c r="Y770" s="40" t="str">
        <f t="array" ref="Y770">IF('STANDAR RESEP'!A798="", "", TRANSPOSE(INDIRECT(SUBSTITUTE(SUBSTITUTE(SUBSTITUTE('STANDAR RESEP'!A798, " ", "_"), "(", ""), ")", ""))))</f>
        <v/>
      </c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39"/>
      <c r="X771" s="17"/>
      <c r="Y771" s="40" t="str">
        <f t="array" ref="Y771">IF('STANDAR RESEP'!A799="", "", TRANSPOSE(INDIRECT(SUBSTITUTE(SUBSTITUTE(SUBSTITUTE('STANDAR RESEP'!A799, " ", "_"), "(", ""), ")", ""))))</f>
        <v/>
      </c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39"/>
      <c r="X772" s="17"/>
      <c r="Y772" s="40" t="str">
        <f t="array" ref="Y772">IF('STANDAR RESEP'!A800="", "", TRANSPOSE(INDIRECT(SUBSTITUTE(SUBSTITUTE(SUBSTITUTE('STANDAR RESEP'!A800, " ", "_"), "(", ""), ")", ""))))</f>
        <v/>
      </c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39"/>
      <c r="X773" s="17"/>
      <c r="Y773" s="40" t="str">
        <f t="array" ref="Y773">IF('STANDAR RESEP'!A801="", "", TRANSPOSE(INDIRECT(SUBSTITUTE(SUBSTITUTE(SUBSTITUTE('STANDAR RESEP'!A801, " ", "_"), "(", ""), ")", ""))))</f>
        <v/>
      </c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39"/>
      <c r="X774" s="17"/>
      <c r="Y774" s="40" t="str">
        <f t="array" ref="Y774">IF('STANDAR RESEP'!A802="", "", TRANSPOSE(INDIRECT(SUBSTITUTE(SUBSTITUTE(SUBSTITUTE('STANDAR RESEP'!A802, " ", "_"), "(", ""), ")", ""))))</f>
        <v/>
      </c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39"/>
      <c r="X775" s="17"/>
      <c r="Y775" s="40" t="str">
        <f t="array" ref="Y775">IF('STANDAR RESEP'!A803="", "", TRANSPOSE(INDIRECT(SUBSTITUTE(SUBSTITUTE(SUBSTITUTE('STANDAR RESEP'!A803, " ", "_"), "(", ""), ")", ""))))</f>
        <v/>
      </c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39"/>
      <c r="X776" s="17"/>
      <c r="Y776" s="40" t="str">
        <f t="array" ref="Y776">IF('STANDAR RESEP'!A804="", "", TRANSPOSE(INDIRECT(SUBSTITUTE(SUBSTITUTE(SUBSTITUTE('STANDAR RESEP'!A804, " ", "_"), "(", ""), ")", ""))))</f>
        <v/>
      </c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39"/>
      <c r="X777" s="17"/>
      <c r="Y777" s="40" t="str">
        <f t="array" ref="Y777">IF('STANDAR RESEP'!A805="", "", TRANSPOSE(INDIRECT(SUBSTITUTE(SUBSTITUTE(SUBSTITUTE('STANDAR RESEP'!A805, " ", "_"), "(", ""), ")", ""))))</f>
        <v/>
      </c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39"/>
      <c r="X778" s="17"/>
      <c r="Y778" s="40" t="str">
        <f t="array" ref="Y778">IF('STANDAR RESEP'!A806="", "", TRANSPOSE(INDIRECT(SUBSTITUTE(SUBSTITUTE(SUBSTITUTE('STANDAR RESEP'!A806, " ", "_"), "(", ""), ")", ""))))</f>
        <v/>
      </c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39"/>
      <c r="X779" s="17"/>
      <c r="Y779" s="40" t="str">
        <f t="array" ref="Y779">IF('STANDAR RESEP'!A807="", "", TRANSPOSE(INDIRECT(SUBSTITUTE(SUBSTITUTE(SUBSTITUTE('STANDAR RESEP'!A807, " ", "_"), "(", ""), ")", ""))))</f>
        <v/>
      </c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39"/>
      <c r="X780" s="17"/>
      <c r="Y780" s="40" t="str">
        <f t="array" ref="Y780">IF('STANDAR RESEP'!A808="", "", TRANSPOSE(INDIRECT(SUBSTITUTE(SUBSTITUTE(SUBSTITUTE('STANDAR RESEP'!A808, " ", "_"), "(", ""), ")", ""))))</f>
        <v/>
      </c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39"/>
      <c r="X781" s="17"/>
      <c r="Y781" s="40" t="str">
        <f t="array" ref="Y781">IF('STANDAR RESEP'!A809="", "", TRANSPOSE(INDIRECT(SUBSTITUTE(SUBSTITUTE(SUBSTITUTE('STANDAR RESEP'!A809, " ", "_"), "(", ""), ")", ""))))</f>
        <v/>
      </c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39"/>
      <c r="X782" s="17"/>
      <c r="Y782" s="40" t="str">
        <f t="array" ref="Y782">IF('STANDAR RESEP'!A810="", "", TRANSPOSE(INDIRECT(SUBSTITUTE(SUBSTITUTE(SUBSTITUTE('STANDAR RESEP'!A810, " ", "_"), "(", ""), ")", ""))))</f>
        <v/>
      </c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39"/>
      <c r="X783" s="17"/>
      <c r="Y783" s="40" t="str">
        <f t="array" ref="Y783">IF('STANDAR RESEP'!A811="", "", TRANSPOSE(INDIRECT(SUBSTITUTE(SUBSTITUTE(SUBSTITUTE('STANDAR RESEP'!A811, " ", "_"), "(", ""), ")", ""))))</f>
        <v/>
      </c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39"/>
      <c r="X784" s="17"/>
      <c r="Y784" s="40" t="str">
        <f t="array" ref="Y784">IF('STANDAR RESEP'!A812="", "", TRANSPOSE(INDIRECT(SUBSTITUTE(SUBSTITUTE(SUBSTITUTE('STANDAR RESEP'!A812, " ", "_"), "(", ""), ")", ""))))</f>
        <v/>
      </c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39"/>
      <c r="X785" s="17"/>
      <c r="Y785" s="40" t="str">
        <f t="array" ref="Y785">IF('STANDAR RESEP'!A813="", "", TRANSPOSE(INDIRECT(SUBSTITUTE(SUBSTITUTE(SUBSTITUTE('STANDAR RESEP'!A813, " ", "_"), "(", ""), ")", ""))))</f>
        <v/>
      </c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39"/>
      <c r="X786" s="17"/>
      <c r="Y786" s="40" t="str">
        <f t="array" ref="Y786">IF('STANDAR RESEP'!A814="", "", TRANSPOSE(INDIRECT(SUBSTITUTE(SUBSTITUTE(SUBSTITUTE('STANDAR RESEP'!A814, " ", "_"), "(", ""), ")", ""))))</f>
        <v/>
      </c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39"/>
      <c r="X787" s="17"/>
      <c r="Y787" s="40" t="str">
        <f t="array" ref="Y787">IF('STANDAR RESEP'!A815="", "", TRANSPOSE(INDIRECT(SUBSTITUTE(SUBSTITUTE(SUBSTITUTE('STANDAR RESEP'!A815, " ", "_"), "(", ""), ")", ""))))</f>
        <v/>
      </c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39"/>
      <c r="X788" s="17"/>
      <c r="Y788" s="40" t="str">
        <f t="array" ref="Y788">IF('STANDAR RESEP'!A816="", "", TRANSPOSE(INDIRECT(SUBSTITUTE(SUBSTITUTE(SUBSTITUTE('STANDAR RESEP'!A816, " ", "_"), "(", ""), ")", ""))))</f>
        <v/>
      </c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39"/>
      <c r="X789" s="17"/>
      <c r="Y789" s="40" t="str">
        <f t="array" ref="Y789">IF('STANDAR RESEP'!A817="", "", TRANSPOSE(INDIRECT(SUBSTITUTE(SUBSTITUTE(SUBSTITUTE('STANDAR RESEP'!A817, " ", "_"), "(", ""), ")", ""))))</f>
        <v/>
      </c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39"/>
      <c r="X790" s="17"/>
      <c r="Y790" s="40" t="str">
        <f t="array" ref="Y790">IF('STANDAR RESEP'!A818="", "", TRANSPOSE(INDIRECT(SUBSTITUTE(SUBSTITUTE(SUBSTITUTE('STANDAR RESEP'!A818, " ", "_"), "(", ""), ")", ""))))</f>
        <v/>
      </c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39"/>
      <c r="X791" s="17"/>
      <c r="Y791" s="40" t="str">
        <f t="array" ref="Y791">IF('STANDAR RESEP'!A819="", "", TRANSPOSE(INDIRECT(SUBSTITUTE(SUBSTITUTE(SUBSTITUTE('STANDAR RESEP'!A819, " ", "_"), "(", ""), ")", ""))))</f>
        <v/>
      </c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39"/>
      <c r="X792" s="17"/>
      <c r="Y792" s="40" t="str">
        <f t="array" ref="Y792">IF('STANDAR RESEP'!A820="", "", TRANSPOSE(INDIRECT(SUBSTITUTE(SUBSTITUTE(SUBSTITUTE('STANDAR RESEP'!A820, " ", "_"), "(", ""), ")", ""))))</f>
        <v/>
      </c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39"/>
      <c r="X793" s="17"/>
      <c r="Y793" s="40" t="str">
        <f t="array" ref="Y793">IF('STANDAR RESEP'!A821="", "", TRANSPOSE(INDIRECT(SUBSTITUTE(SUBSTITUTE(SUBSTITUTE('STANDAR RESEP'!A821, " ", "_"), "(", ""), ")", ""))))</f>
        <v/>
      </c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39"/>
      <c r="X794" s="17"/>
      <c r="Y794" s="40" t="str">
        <f t="array" ref="Y794">IF('STANDAR RESEP'!A822="", "", TRANSPOSE(INDIRECT(SUBSTITUTE(SUBSTITUTE(SUBSTITUTE('STANDAR RESEP'!A822, " ", "_"), "(", ""), ")", ""))))</f>
        <v/>
      </c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39"/>
      <c r="X795" s="17"/>
      <c r="Y795" s="40" t="str">
        <f t="array" ref="Y795">IF('STANDAR RESEP'!A823="", "", TRANSPOSE(INDIRECT(SUBSTITUTE(SUBSTITUTE(SUBSTITUTE('STANDAR RESEP'!A823, " ", "_"), "(", ""), ")", ""))))</f>
        <v/>
      </c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39"/>
      <c r="X796" s="17"/>
      <c r="Y796" s="40" t="str">
        <f t="array" ref="Y796">IF('STANDAR RESEP'!A824="", "", TRANSPOSE(INDIRECT(SUBSTITUTE(SUBSTITUTE(SUBSTITUTE('STANDAR RESEP'!A824, " ", "_"), "(", ""), ")", ""))))</f>
        <v/>
      </c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39"/>
      <c r="X797" s="17"/>
      <c r="Y797" s="40" t="str">
        <f t="array" ref="Y797">IF('STANDAR RESEP'!A825="", "", TRANSPOSE(INDIRECT(SUBSTITUTE(SUBSTITUTE(SUBSTITUTE('STANDAR RESEP'!A825, " ", "_"), "(", ""), ")", ""))))</f>
        <v/>
      </c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39"/>
      <c r="X798" s="17"/>
      <c r="Y798" s="40" t="str">
        <f t="array" ref="Y798">IF('STANDAR RESEP'!A826="", "", TRANSPOSE(INDIRECT(SUBSTITUTE(SUBSTITUTE(SUBSTITUTE('STANDAR RESEP'!A826, " ", "_"), "(", ""), ")", ""))))</f>
        <v/>
      </c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39"/>
      <c r="X799" s="17"/>
      <c r="Y799" s="40" t="str">
        <f t="array" ref="Y799">IF('STANDAR RESEP'!A827="", "", TRANSPOSE(INDIRECT(SUBSTITUTE(SUBSTITUTE(SUBSTITUTE('STANDAR RESEP'!A827, " ", "_"), "(", ""), ")", ""))))</f>
        <v/>
      </c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39"/>
      <c r="X800" s="17"/>
      <c r="Y800" s="40" t="str">
        <f t="array" ref="Y800">IF('STANDAR RESEP'!A828="", "", TRANSPOSE(INDIRECT(SUBSTITUTE(SUBSTITUTE(SUBSTITUTE('STANDAR RESEP'!A828, " ", "_"), "(", ""), ")", ""))))</f>
        <v/>
      </c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39"/>
      <c r="X801" s="17"/>
      <c r="Y801" s="40" t="str">
        <f t="array" ref="Y801">IF('STANDAR RESEP'!A829="", "", TRANSPOSE(INDIRECT(SUBSTITUTE(SUBSTITUTE(SUBSTITUTE('STANDAR RESEP'!A829, " ", "_"), "(", ""), ")", ""))))</f>
        <v/>
      </c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39"/>
      <c r="X802" s="17"/>
      <c r="Y802" s="40" t="str">
        <f t="array" ref="Y802">IF('STANDAR RESEP'!A830="", "", TRANSPOSE(INDIRECT(SUBSTITUTE(SUBSTITUTE(SUBSTITUTE('STANDAR RESEP'!A830, " ", "_"), "(", ""), ")", ""))))</f>
        <v/>
      </c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39"/>
      <c r="X803" s="17"/>
      <c r="Y803" s="40" t="str">
        <f t="array" ref="Y803">IF('STANDAR RESEP'!A831="", "", TRANSPOSE(INDIRECT(SUBSTITUTE(SUBSTITUTE(SUBSTITUTE('STANDAR RESEP'!A831, " ", "_"), "(", ""), ")", ""))))</f>
        <v/>
      </c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39"/>
      <c r="X804" s="17"/>
      <c r="Y804" s="40" t="str">
        <f t="array" ref="Y804">IF('STANDAR RESEP'!A832="", "", TRANSPOSE(INDIRECT(SUBSTITUTE(SUBSTITUTE(SUBSTITUTE('STANDAR RESEP'!A832, " ", "_"), "(", ""), ")", ""))))</f>
        <v/>
      </c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39"/>
      <c r="X805" s="17"/>
      <c r="Y805" s="40" t="str">
        <f t="array" ref="Y805">IF('STANDAR RESEP'!A833="", "", TRANSPOSE(INDIRECT(SUBSTITUTE(SUBSTITUTE(SUBSTITUTE('STANDAR RESEP'!A833, " ", "_"), "(", ""), ")", ""))))</f>
        <v/>
      </c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39"/>
      <c r="X806" s="17"/>
      <c r="Y806" s="40" t="str">
        <f t="array" ref="Y806">IF('STANDAR RESEP'!A834="", "", TRANSPOSE(INDIRECT(SUBSTITUTE(SUBSTITUTE(SUBSTITUTE('STANDAR RESEP'!A834, " ", "_"), "(", ""), ")", ""))))</f>
        <v/>
      </c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39"/>
      <c r="X807" s="17"/>
      <c r="Y807" s="40" t="str">
        <f t="array" ref="Y807">IF('STANDAR RESEP'!A835="", "", TRANSPOSE(INDIRECT(SUBSTITUTE(SUBSTITUTE(SUBSTITUTE('STANDAR RESEP'!A835, " ", "_"), "(", ""), ")", ""))))</f>
        <v/>
      </c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39"/>
      <c r="X808" s="17"/>
      <c r="Y808" s="40" t="str">
        <f t="array" ref="Y808">IF('STANDAR RESEP'!A836="", "", TRANSPOSE(INDIRECT(SUBSTITUTE(SUBSTITUTE(SUBSTITUTE('STANDAR RESEP'!A836, " ", "_"), "(", ""), ")", ""))))</f>
        <v/>
      </c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39"/>
      <c r="X809" s="17"/>
      <c r="Y809" s="40" t="str">
        <f t="array" ref="Y809">IF('STANDAR RESEP'!A837="", "", TRANSPOSE(INDIRECT(SUBSTITUTE(SUBSTITUTE(SUBSTITUTE('STANDAR RESEP'!A837, " ", "_"), "(", ""), ")", ""))))</f>
        <v/>
      </c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39"/>
      <c r="X810" s="17"/>
      <c r="Y810" s="40" t="str">
        <f t="array" ref="Y810">IF('STANDAR RESEP'!A838="", "", TRANSPOSE(INDIRECT(SUBSTITUTE(SUBSTITUTE(SUBSTITUTE('STANDAR RESEP'!A838, " ", "_"), "(", ""), ")", ""))))</f>
        <v/>
      </c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39"/>
      <c r="X811" s="17"/>
      <c r="Y811" s="40" t="str">
        <f t="array" ref="Y811">IF('STANDAR RESEP'!A839="", "", TRANSPOSE(INDIRECT(SUBSTITUTE(SUBSTITUTE(SUBSTITUTE('STANDAR RESEP'!A839, " ", "_"), "(", ""), ")", ""))))</f>
        <v/>
      </c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39"/>
      <c r="X812" s="17"/>
      <c r="Y812" s="40" t="str">
        <f t="array" ref="Y812">IF('STANDAR RESEP'!A840="", "", TRANSPOSE(INDIRECT(SUBSTITUTE(SUBSTITUTE(SUBSTITUTE('STANDAR RESEP'!A840, " ", "_"), "(", ""), ")", ""))))</f>
        <v/>
      </c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39"/>
      <c r="X813" s="17"/>
      <c r="Y813" s="40" t="str">
        <f t="array" ref="Y813">IF('STANDAR RESEP'!A841="", "", TRANSPOSE(INDIRECT(SUBSTITUTE(SUBSTITUTE(SUBSTITUTE('STANDAR RESEP'!A841, " ", "_"), "(", ""), ")", ""))))</f>
        <v/>
      </c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39"/>
      <c r="X814" s="17"/>
      <c r="Y814" s="40" t="str">
        <f t="array" ref="Y814">IF('STANDAR RESEP'!A842="", "", TRANSPOSE(INDIRECT(SUBSTITUTE(SUBSTITUTE(SUBSTITUTE('STANDAR RESEP'!A842, " ", "_"), "(", ""), ")", ""))))</f>
        <v/>
      </c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39"/>
      <c r="X815" s="17"/>
      <c r="Y815" s="40" t="str">
        <f t="array" ref="Y815">IF('STANDAR RESEP'!A843="", "", TRANSPOSE(INDIRECT(SUBSTITUTE(SUBSTITUTE(SUBSTITUTE('STANDAR RESEP'!A843, " ", "_"), "(", ""), ")", ""))))</f>
        <v/>
      </c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39"/>
      <c r="X816" s="17"/>
      <c r="Y816" s="40" t="str">
        <f t="array" ref="Y816">IF('STANDAR RESEP'!A844="", "", TRANSPOSE(INDIRECT(SUBSTITUTE(SUBSTITUTE(SUBSTITUTE('STANDAR RESEP'!A844, " ", "_"), "(", ""), ")", ""))))</f>
        <v/>
      </c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39"/>
      <c r="X817" s="17"/>
      <c r="Y817" s="40" t="str">
        <f t="array" ref="Y817">IF('STANDAR RESEP'!A845="", "", TRANSPOSE(INDIRECT(SUBSTITUTE(SUBSTITUTE(SUBSTITUTE('STANDAR RESEP'!A845, " ", "_"), "(", ""), ")", ""))))</f>
        <v/>
      </c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39"/>
      <c r="X818" s="17"/>
      <c r="Y818" s="40" t="str">
        <f t="array" ref="Y818">IF('STANDAR RESEP'!A846="", "", TRANSPOSE(INDIRECT(SUBSTITUTE(SUBSTITUTE(SUBSTITUTE('STANDAR RESEP'!A846, " ", "_"), "(", ""), ")", ""))))</f>
        <v/>
      </c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39"/>
      <c r="X819" s="17"/>
      <c r="Y819" s="40" t="str">
        <f t="array" ref="Y819">IF('STANDAR RESEP'!A847="", "", TRANSPOSE(INDIRECT(SUBSTITUTE(SUBSTITUTE(SUBSTITUTE('STANDAR RESEP'!A847, " ", "_"), "(", ""), ")", ""))))</f>
        <v/>
      </c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39"/>
      <c r="X820" s="17"/>
      <c r="Y820" s="40" t="str">
        <f t="array" ref="Y820">IF('STANDAR RESEP'!A848="", "", TRANSPOSE(INDIRECT(SUBSTITUTE(SUBSTITUTE(SUBSTITUTE('STANDAR RESEP'!A848, " ", "_"), "(", ""), ")", ""))))</f>
        <v/>
      </c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39"/>
      <c r="X821" s="17"/>
      <c r="Y821" s="40" t="str">
        <f t="array" ref="Y821">IF('STANDAR RESEP'!A849="", "", TRANSPOSE(INDIRECT(SUBSTITUTE(SUBSTITUTE(SUBSTITUTE('STANDAR RESEP'!A849, " ", "_"), "(", ""), ")", ""))))</f>
        <v/>
      </c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39"/>
      <c r="X822" s="17"/>
      <c r="Y822" s="40" t="str">
        <f t="array" ref="Y822">IF('STANDAR RESEP'!A850="", "", TRANSPOSE(INDIRECT(SUBSTITUTE(SUBSTITUTE(SUBSTITUTE('STANDAR RESEP'!A850, " ", "_"), "(", ""), ")", ""))))</f>
        <v/>
      </c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39"/>
      <c r="X823" s="17"/>
      <c r="Y823" s="40" t="str">
        <f t="array" ref="Y823">IF('STANDAR RESEP'!A851="", "", TRANSPOSE(INDIRECT(SUBSTITUTE(SUBSTITUTE(SUBSTITUTE('STANDAR RESEP'!A851, " ", "_"), "(", ""), ")", ""))))</f>
        <v/>
      </c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39"/>
      <c r="X824" s="17"/>
      <c r="Y824" s="40" t="str">
        <f t="array" ref="Y824">IF('STANDAR RESEP'!A852="", "", TRANSPOSE(INDIRECT(SUBSTITUTE(SUBSTITUTE(SUBSTITUTE('STANDAR RESEP'!A852, " ", "_"), "(", ""), ")", ""))))</f>
        <v/>
      </c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39"/>
      <c r="X825" s="17"/>
      <c r="Y825" s="40" t="str">
        <f t="array" ref="Y825">IF('STANDAR RESEP'!A853="", "", TRANSPOSE(INDIRECT(SUBSTITUTE(SUBSTITUTE(SUBSTITUTE('STANDAR RESEP'!A853, " ", "_"), "(", ""), ")", ""))))</f>
        <v/>
      </c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39"/>
      <c r="X826" s="17"/>
      <c r="Y826" s="40" t="str">
        <f t="array" ref="Y826">IF('STANDAR RESEP'!A854="", "", TRANSPOSE(INDIRECT(SUBSTITUTE(SUBSTITUTE(SUBSTITUTE('STANDAR RESEP'!A854, " ", "_"), "(", ""), ")", ""))))</f>
        <v/>
      </c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39"/>
      <c r="X827" s="17"/>
      <c r="Y827" s="40" t="str">
        <f t="array" ref="Y827">IF('STANDAR RESEP'!A855="", "", TRANSPOSE(INDIRECT(SUBSTITUTE(SUBSTITUTE(SUBSTITUTE('STANDAR RESEP'!A855, " ", "_"), "(", ""), ")", ""))))</f>
        <v/>
      </c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39"/>
      <c r="X828" s="17"/>
      <c r="Y828" s="40" t="str">
        <f t="array" ref="Y828">IF('STANDAR RESEP'!A856="", "", TRANSPOSE(INDIRECT(SUBSTITUTE(SUBSTITUTE(SUBSTITUTE('STANDAR RESEP'!A856, " ", "_"), "(", ""), ")", ""))))</f>
        <v/>
      </c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39"/>
      <c r="X829" s="17"/>
      <c r="Y829" s="40" t="str">
        <f t="array" ref="Y829">IF('STANDAR RESEP'!A857="", "", TRANSPOSE(INDIRECT(SUBSTITUTE(SUBSTITUTE(SUBSTITUTE('STANDAR RESEP'!A857, " ", "_"), "(", ""), ")", ""))))</f>
        <v/>
      </c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39"/>
      <c r="X830" s="17"/>
      <c r="Y830" s="40" t="str">
        <f t="array" ref="Y830">IF('STANDAR RESEP'!A858="", "", TRANSPOSE(INDIRECT(SUBSTITUTE(SUBSTITUTE(SUBSTITUTE('STANDAR RESEP'!A858, " ", "_"), "(", ""), ")", ""))))</f>
        <v/>
      </c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39"/>
      <c r="X831" s="17"/>
      <c r="Y831" s="40" t="str">
        <f t="array" ref="Y831">IF('STANDAR RESEP'!A859="", "", TRANSPOSE(INDIRECT(SUBSTITUTE(SUBSTITUTE(SUBSTITUTE('STANDAR RESEP'!A859, " ", "_"), "(", ""), ")", ""))))</f>
        <v/>
      </c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39"/>
      <c r="X832" s="17"/>
      <c r="Y832" s="40" t="str">
        <f t="array" ref="Y832">IF('STANDAR RESEP'!A860="", "", TRANSPOSE(INDIRECT(SUBSTITUTE(SUBSTITUTE(SUBSTITUTE('STANDAR RESEP'!A860, " ", "_"), "(", ""), ")", ""))))</f>
        <v/>
      </c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39"/>
      <c r="X833" s="17"/>
      <c r="Y833" s="40" t="str">
        <f t="array" ref="Y833">IF('STANDAR RESEP'!A861="", "", TRANSPOSE(INDIRECT(SUBSTITUTE(SUBSTITUTE(SUBSTITUTE('STANDAR RESEP'!A861, " ", "_"), "(", ""), ")", ""))))</f>
        <v/>
      </c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39"/>
      <c r="X834" s="17"/>
      <c r="Y834" s="40" t="str">
        <f t="array" ref="Y834">IF('STANDAR RESEP'!A862="", "", TRANSPOSE(INDIRECT(SUBSTITUTE(SUBSTITUTE(SUBSTITUTE('STANDAR RESEP'!A862, " ", "_"), "(", ""), ")", ""))))</f>
        <v/>
      </c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39"/>
      <c r="X835" s="17"/>
      <c r="Y835" s="40" t="str">
        <f t="array" ref="Y835">IF('STANDAR RESEP'!A863="", "", TRANSPOSE(INDIRECT(SUBSTITUTE(SUBSTITUTE(SUBSTITUTE('STANDAR RESEP'!A863, " ", "_"), "(", ""), ")", ""))))</f>
        <v/>
      </c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39"/>
      <c r="X836" s="17"/>
      <c r="Y836" s="40" t="str">
        <f t="array" ref="Y836">IF('STANDAR RESEP'!A864="", "", TRANSPOSE(INDIRECT(SUBSTITUTE(SUBSTITUTE(SUBSTITUTE('STANDAR RESEP'!A864, " ", "_"), "(", ""), ")", ""))))</f>
        <v/>
      </c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39"/>
      <c r="X837" s="17"/>
      <c r="Y837" s="40" t="str">
        <f t="array" ref="Y837">IF('STANDAR RESEP'!A865="", "", TRANSPOSE(INDIRECT(SUBSTITUTE(SUBSTITUTE(SUBSTITUTE('STANDAR RESEP'!A865, " ", "_"), "(", ""), ")", ""))))</f>
        <v/>
      </c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39"/>
      <c r="X838" s="17"/>
      <c r="Y838" s="40" t="str">
        <f t="array" ref="Y838">IF('STANDAR RESEP'!A866="", "", TRANSPOSE(INDIRECT(SUBSTITUTE(SUBSTITUTE(SUBSTITUTE('STANDAR RESEP'!A866, " ", "_"), "(", ""), ")", ""))))</f>
        <v/>
      </c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39"/>
      <c r="X839" s="17"/>
      <c r="Y839" s="40" t="str">
        <f t="array" ref="Y839">IF('STANDAR RESEP'!A867="", "", TRANSPOSE(INDIRECT(SUBSTITUTE(SUBSTITUTE(SUBSTITUTE('STANDAR RESEP'!A867, " ", "_"), "(", ""), ")", ""))))</f>
        <v/>
      </c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39"/>
      <c r="X840" s="17"/>
      <c r="Y840" s="40" t="str">
        <f t="array" ref="Y840">IF('STANDAR RESEP'!A868="", "", TRANSPOSE(INDIRECT(SUBSTITUTE(SUBSTITUTE(SUBSTITUTE('STANDAR RESEP'!A868, " ", "_"), "(", ""), ")", ""))))</f>
        <v/>
      </c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39"/>
      <c r="X841" s="17"/>
      <c r="Y841" s="40" t="str">
        <f t="array" ref="Y841">IF('STANDAR RESEP'!A869="", "", TRANSPOSE(INDIRECT(SUBSTITUTE(SUBSTITUTE(SUBSTITUTE('STANDAR RESEP'!A869, " ", "_"), "(", ""), ")", ""))))</f>
        <v/>
      </c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39"/>
      <c r="X842" s="17"/>
      <c r="Y842" s="40" t="str">
        <f t="array" ref="Y842">IF('STANDAR RESEP'!A870="", "", TRANSPOSE(INDIRECT(SUBSTITUTE(SUBSTITUTE(SUBSTITUTE('STANDAR RESEP'!A870, " ", "_"), "(", ""), ")", ""))))</f>
        <v/>
      </c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39"/>
      <c r="X843" s="17"/>
      <c r="Y843" s="40" t="str">
        <f t="array" ref="Y843">IF('STANDAR RESEP'!A871="", "", TRANSPOSE(INDIRECT(SUBSTITUTE(SUBSTITUTE(SUBSTITUTE('STANDAR RESEP'!A871, " ", "_"), "(", ""), ")", ""))))</f>
        <v/>
      </c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39"/>
      <c r="X844" s="17"/>
      <c r="Y844" s="40" t="str">
        <f t="array" ref="Y844">IF('STANDAR RESEP'!A872="", "", TRANSPOSE(INDIRECT(SUBSTITUTE(SUBSTITUTE(SUBSTITUTE('STANDAR RESEP'!A872, " ", "_"), "(", ""), ")", ""))))</f>
        <v/>
      </c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39"/>
      <c r="X845" s="17"/>
      <c r="Y845" s="40" t="str">
        <f t="array" ref="Y845">IF('STANDAR RESEP'!A873="", "", TRANSPOSE(INDIRECT(SUBSTITUTE(SUBSTITUTE(SUBSTITUTE('STANDAR RESEP'!A873, " ", "_"), "(", ""), ")", ""))))</f>
        <v/>
      </c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39"/>
      <c r="X846" s="17"/>
      <c r="Y846" s="40" t="str">
        <f t="array" ref="Y846">IF('STANDAR RESEP'!A874="", "", TRANSPOSE(INDIRECT(SUBSTITUTE(SUBSTITUTE(SUBSTITUTE('STANDAR RESEP'!A874, " ", "_"), "(", ""), ")", ""))))</f>
        <v/>
      </c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39"/>
      <c r="X847" s="17"/>
      <c r="Y847" s="40" t="str">
        <f t="array" ref="Y847">IF('STANDAR RESEP'!A875="", "", TRANSPOSE(INDIRECT(SUBSTITUTE(SUBSTITUTE(SUBSTITUTE('STANDAR RESEP'!A875, " ", "_"), "(", ""), ")", ""))))</f>
        <v/>
      </c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39"/>
      <c r="X848" s="17"/>
      <c r="Y848" s="40" t="str">
        <f t="array" ref="Y848">IF('STANDAR RESEP'!A876="", "", TRANSPOSE(INDIRECT(SUBSTITUTE(SUBSTITUTE(SUBSTITUTE('STANDAR RESEP'!A876, " ", "_"), "(", ""), ")", ""))))</f>
        <v/>
      </c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39"/>
      <c r="X849" s="17"/>
      <c r="Y849" s="40" t="str">
        <f t="array" ref="Y849">IF('STANDAR RESEP'!A877="", "", TRANSPOSE(INDIRECT(SUBSTITUTE(SUBSTITUTE(SUBSTITUTE('STANDAR RESEP'!A877, " ", "_"), "(", ""), ")", ""))))</f>
        <v/>
      </c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39"/>
      <c r="X850" s="17"/>
      <c r="Y850" s="40" t="str">
        <f t="array" ref="Y850">IF('STANDAR RESEP'!A878="", "", TRANSPOSE(INDIRECT(SUBSTITUTE(SUBSTITUTE(SUBSTITUTE('STANDAR RESEP'!A878, " ", "_"), "(", ""), ")", ""))))</f>
        <v/>
      </c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39"/>
      <c r="X851" s="17"/>
      <c r="Y851" s="40" t="str">
        <f t="array" ref="Y851">IF('STANDAR RESEP'!A879="", "", TRANSPOSE(INDIRECT(SUBSTITUTE(SUBSTITUTE(SUBSTITUTE('STANDAR RESEP'!A879, " ", "_"), "(", ""), ")", ""))))</f>
        <v/>
      </c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39"/>
      <c r="X852" s="17"/>
      <c r="Y852" s="40" t="str">
        <f t="array" ref="Y852">IF('STANDAR RESEP'!A880="", "", TRANSPOSE(INDIRECT(SUBSTITUTE(SUBSTITUTE(SUBSTITUTE('STANDAR RESEP'!A880, " ", "_"), "(", ""), ")", ""))))</f>
        <v/>
      </c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39"/>
      <c r="X853" s="17"/>
      <c r="Y853" s="40" t="str">
        <f t="array" ref="Y853">IF('STANDAR RESEP'!A881="", "", TRANSPOSE(INDIRECT(SUBSTITUTE(SUBSTITUTE(SUBSTITUTE('STANDAR RESEP'!A881, " ", "_"), "(", ""), ")", ""))))</f>
        <v/>
      </c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39"/>
      <c r="X854" s="17"/>
      <c r="Y854" s="40" t="str">
        <f t="array" ref="Y854">IF('STANDAR RESEP'!A882="", "", TRANSPOSE(INDIRECT(SUBSTITUTE(SUBSTITUTE(SUBSTITUTE('STANDAR RESEP'!A882, " ", "_"), "(", ""), ")", ""))))</f>
        <v/>
      </c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39"/>
      <c r="X855" s="17"/>
      <c r="Y855" s="40" t="str">
        <f t="array" ref="Y855">IF('STANDAR RESEP'!A883="", "", TRANSPOSE(INDIRECT(SUBSTITUTE(SUBSTITUTE(SUBSTITUTE('STANDAR RESEP'!A883, " ", "_"), "(", ""), ")", ""))))</f>
        <v/>
      </c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39"/>
      <c r="X856" s="17"/>
      <c r="Y856" s="40" t="str">
        <f t="array" ref="Y856">IF('STANDAR RESEP'!A884="", "", TRANSPOSE(INDIRECT(SUBSTITUTE(SUBSTITUTE(SUBSTITUTE('STANDAR RESEP'!A884, " ", "_"), "(", ""), ")", ""))))</f>
        <v/>
      </c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39"/>
      <c r="X857" s="17"/>
      <c r="Y857" s="40" t="str">
        <f t="array" ref="Y857">IF('STANDAR RESEP'!A885="", "", TRANSPOSE(INDIRECT(SUBSTITUTE(SUBSTITUTE(SUBSTITUTE('STANDAR RESEP'!A885, " ", "_"), "(", ""), ")", ""))))</f>
        <v/>
      </c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39"/>
      <c r="X858" s="17"/>
      <c r="Y858" s="40" t="str">
        <f t="array" ref="Y858">IF('STANDAR RESEP'!A886="", "", TRANSPOSE(INDIRECT(SUBSTITUTE(SUBSTITUTE(SUBSTITUTE('STANDAR RESEP'!A886, " ", "_"), "(", ""), ")", ""))))</f>
        <v/>
      </c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39"/>
      <c r="X859" s="17"/>
      <c r="Y859" s="40" t="str">
        <f t="array" ref="Y859">IF('STANDAR RESEP'!A887="", "", TRANSPOSE(INDIRECT(SUBSTITUTE(SUBSTITUTE(SUBSTITUTE('STANDAR RESEP'!A887, " ", "_"), "(", ""), ")", ""))))</f>
        <v/>
      </c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39"/>
      <c r="X860" s="17"/>
      <c r="Y860" s="40" t="str">
        <f t="array" ref="Y860">IF('STANDAR RESEP'!A888="", "", TRANSPOSE(INDIRECT(SUBSTITUTE(SUBSTITUTE(SUBSTITUTE('STANDAR RESEP'!A888, " ", "_"), "(", ""), ")", ""))))</f>
        <v/>
      </c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39"/>
      <c r="X861" s="17"/>
      <c r="Y861" s="40" t="str">
        <f t="array" ref="Y861">IF('STANDAR RESEP'!A889="", "", TRANSPOSE(INDIRECT(SUBSTITUTE(SUBSTITUTE(SUBSTITUTE('STANDAR RESEP'!A889, " ", "_"), "(", ""), ")", ""))))</f>
        <v/>
      </c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39"/>
      <c r="X862" s="17"/>
      <c r="Y862" s="40" t="str">
        <f t="array" ref="Y862">IF('STANDAR RESEP'!A890="", "", TRANSPOSE(INDIRECT(SUBSTITUTE(SUBSTITUTE(SUBSTITUTE('STANDAR RESEP'!A890, " ", "_"), "(", ""), ")", ""))))</f>
        <v/>
      </c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39"/>
      <c r="X863" s="17"/>
      <c r="Y863" s="40" t="str">
        <f t="array" ref="Y863">IF('STANDAR RESEP'!A891="", "", TRANSPOSE(INDIRECT(SUBSTITUTE(SUBSTITUTE(SUBSTITUTE('STANDAR RESEP'!A891, " ", "_"), "(", ""), ")", ""))))</f>
        <v/>
      </c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39"/>
      <c r="X864" s="17"/>
      <c r="Y864" s="40" t="str">
        <f t="array" ref="Y864">IF('STANDAR RESEP'!A892="", "", TRANSPOSE(INDIRECT(SUBSTITUTE(SUBSTITUTE(SUBSTITUTE('STANDAR RESEP'!A892, " ", "_"), "(", ""), ")", ""))))</f>
        <v/>
      </c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39"/>
      <c r="X865" s="17"/>
      <c r="Y865" s="40" t="str">
        <f t="array" ref="Y865">IF('STANDAR RESEP'!A893="", "", TRANSPOSE(INDIRECT(SUBSTITUTE(SUBSTITUTE(SUBSTITUTE('STANDAR RESEP'!A893, " ", "_"), "(", ""), ")", ""))))</f>
        <v/>
      </c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39"/>
      <c r="X866" s="17"/>
      <c r="Y866" s="40" t="str">
        <f t="array" ref="Y866">IF('STANDAR RESEP'!A894="", "", TRANSPOSE(INDIRECT(SUBSTITUTE(SUBSTITUTE(SUBSTITUTE('STANDAR RESEP'!A894, " ", "_"), "(", ""), ")", ""))))</f>
        <v/>
      </c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39"/>
      <c r="X867" s="17"/>
      <c r="Y867" s="40" t="str">
        <f t="array" ref="Y867">IF('STANDAR RESEP'!A895="", "", TRANSPOSE(INDIRECT(SUBSTITUTE(SUBSTITUTE(SUBSTITUTE('STANDAR RESEP'!A895, " ", "_"), "(", ""), ")", ""))))</f>
        <v/>
      </c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39"/>
      <c r="X868" s="17"/>
      <c r="Y868" s="40" t="str">
        <f t="array" ref="Y868">IF('STANDAR RESEP'!A896="", "", TRANSPOSE(INDIRECT(SUBSTITUTE(SUBSTITUTE(SUBSTITUTE('STANDAR RESEP'!A896, " ", "_"), "(", ""), ")", ""))))</f>
        <v/>
      </c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39"/>
      <c r="X869" s="17"/>
      <c r="Y869" s="40" t="str">
        <f t="array" ref="Y869">IF('STANDAR RESEP'!A897="", "", TRANSPOSE(INDIRECT(SUBSTITUTE(SUBSTITUTE(SUBSTITUTE('STANDAR RESEP'!A897, " ", "_"), "(", ""), ")", ""))))</f>
        <v/>
      </c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39"/>
      <c r="X870" s="17"/>
      <c r="Y870" s="40" t="str">
        <f t="array" ref="Y870">IF('STANDAR RESEP'!A898="", "", TRANSPOSE(INDIRECT(SUBSTITUTE(SUBSTITUTE(SUBSTITUTE('STANDAR RESEP'!A898, " ", "_"), "(", ""), ")", ""))))</f>
        <v/>
      </c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39"/>
      <c r="X871" s="17"/>
      <c r="Y871" s="40" t="str">
        <f t="array" ref="Y871">IF('STANDAR RESEP'!A899="", "", TRANSPOSE(INDIRECT(SUBSTITUTE(SUBSTITUTE(SUBSTITUTE('STANDAR RESEP'!A899, " ", "_"), "(", ""), ")", ""))))</f>
        <v/>
      </c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39"/>
      <c r="X872" s="17"/>
      <c r="Y872" s="40" t="str">
        <f t="array" ref="Y872">IF('STANDAR RESEP'!A900="", "", TRANSPOSE(INDIRECT(SUBSTITUTE(SUBSTITUTE(SUBSTITUTE('STANDAR RESEP'!A900, " ", "_"), "(", ""), ")", ""))))</f>
        <v/>
      </c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39"/>
      <c r="X873" s="17"/>
      <c r="Y873" s="40" t="str">
        <f t="array" ref="Y873">IF('STANDAR RESEP'!A901="", "", TRANSPOSE(INDIRECT(SUBSTITUTE(SUBSTITUTE(SUBSTITUTE('STANDAR RESEP'!A901, " ", "_"), "(", ""), ")", ""))))</f>
        <v/>
      </c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39"/>
      <c r="X874" s="17"/>
      <c r="Y874" s="40" t="str">
        <f t="array" ref="Y874">IF('STANDAR RESEP'!A902="", "", TRANSPOSE(INDIRECT(SUBSTITUTE(SUBSTITUTE(SUBSTITUTE('STANDAR RESEP'!A902, " ", "_"), "(", ""), ")", ""))))</f>
        <v/>
      </c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39"/>
      <c r="X875" s="17"/>
      <c r="Y875" s="40" t="str">
        <f t="array" ref="Y875">IF('STANDAR RESEP'!A903="", "", TRANSPOSE(INDIRECT(SUBSTITUTE(SUBSTITUTE(SUBSTITUTE('STANDAR RESEP'!A903, " ", "_"), "(", ""), ")", ""))))</f>
        <v/>
      </c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39"/>
      <c r="X876" s="17"/>
      <c r="Y876" s="40" t="str">
        <f t="array" ref="Y876">IF('STANDAR RESEP'!A904="", "", TRANSPOSE(INDIRECT(SUBSTITUTE(SUBSTITUTE(SUBSTITUTE('STANDAR RESEP'!A904, " ", "_"), "(", ""), ")", ""))))</f>
        <v/>
      </c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39"/>
      <c r="X877" s="17"/>
      <c r="Y877" s="40" t="str">
        <f t="array" ref="Y877">IF('STANDAR RESEP'!A905="", "", TRANSPOSE(INDIRECT(SUBSTITUTE(SUBSTITUTE(SUBSTITUTE('STANDAR RESEP'!A905, " ", "_"), "(", ""), ")", ""))))</f>
        <v/>
      </c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39"/>
      <c r="X878" s="17"/>
      <c r="Y878" s="40" t="str">
        <f t="array" ref="Y878">IF('STANDAR RESEP'!A906="", "", TRANSPOSE(INDIRECT(SUBSTITUTE(SUBSTITUTE(SUBSTITUTE('STANDAR RESEP'!A906, " ", "_"), "(", ""), ")", ""))))</f>
        <v/>
      </c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39"/>
      <c r="X879" s="17"/>
      <c r="Y879" s="40" t="str">
        <f t="array" ref="Y879">IF('STANDAR RESEP'!A907="", "", TRANSPOSE(INDIRECT(SUBSTITUTE(SUBSTITUTE(SUBSTITUTE('STANDAR RESEP'!A907, " ", "_"), "(", ""), ")", ""))))</f>
        <v/>
      </c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39"/>
      <c r="X880" s="17"/>
      <c r="Y880" s="40" t="str">
        <f t="array" ref="Y880">IF('STANDAR RESEP'!A908="", "", TRANSPOSE(INDIRECT(SUBSTITUTE(SUBSTITUTE(SUBSTITUTE('STANDAR RESEP'!A908, " ", "_"), "(", ""), ")", ""))))</f>
        <v/>
      </c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39"/>
      <c r="X881" s="17"/>
      <c r="Y881" s="40" t="str">
        <f t="array" ref="Y881">IF('STANDAR RESEP'!A909="", "", TRANSPOSE(INDIRECT(SUBSTITUTE(SUBSTITUTE(SUBSTITUTE('STANDAR RESEP'!A909, " ", "_"), "(", ""), ")", ""))))</f>
        <v/>
      </c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39"/>
      <c r="X882" s="17"/>
      <c r="Y882" s="40" t="str">
        <f t="array" ref="Y882">IF('STANDAR RESEP'!A910="", "", TRANSPOSE(INDIRECT(SUBSTITUTE(SUBSTITUTE(SUBSTITUTE('STANDAR RESEP'!A910, " ", "_"), "(", ""), ")", ""))))</f>
        <v/>
      </c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39"/>
      <c r="X883" s="17"/>
      <c r="Y883" s="40" t="str">
        <f t="array" ref="Y883">IF('STANDAR RESEP'!A911="", "", TRANSPOSE(INDIRECT(SUBSTITUTE(SUBSTITUTE(SUBSTITUTE('STANDAR RESEP'!A911, " ", "_"), "(", ""), ")", ""))))</f>
        <v/>
      </c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39"/>
      <c r="X884" s="17"/>
      <c r="Y884" s="40" t="str">
        <f t="array" ref="Y884">IF('STANDAR RESEP'!A912="", "", TRANSPOSE(INDIRECT(SUBSTITUTE(SUBSTITUTE(SUBSTITUTE('STANDAR RESEP'!A912, " ", "_"), "(", ""), ")", ""))))</f>
        <v/>
      </c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39"/>
      <c r="X885" s="17"/>
      <c r="Y885" s="40" t="str">
        <f t="array" ref="Y885">IF('STANDAR RESEP'!A913="", "", TRANSPOSE(INDIRECT(SUBSTITUTE(SUBSTITUTE(SUBSTITUTE('STANDAR RESEP'!A913, " ", "_"), "(", ""), ")", ""))))</f>
        <v/>
      </c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39"/>
      <c r="X886" s="17"/>
      <c r="Y886" s="40" t="str">
        <f t="array" ref="Y886">IF('STANDAR RESEP'!A914="", "", TRANSPOSE(INDIRECT(SUBSTITUTE(SUBSTITUTE(SUBSTITUTE('STANDAR RESEP'!A914, " ", "_"), "(", ""), ")", ""))))</f>
        <v/>
      </c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39"/>
      <c r="X887" s="17"/>
      <c r="Y887" s="40" t="str">
        <f t="array" ref="Y887">IF('STANDAR RESEP'!A915="", "", TRANSPOSE(INDIRECT(SUBSTITUTE(SUBSTITUTE(SUBSTITUTE('STANDAR RESEP'!A915, " ", "_"), "(", ""), ")", ""))))</f>
        <v/>
      </c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39"/>
      <c r="X888" s="17"/>
      <c r="Y888" s="40" t="str">
        <f t="array" ref="Y888">IF('STANDAR RESEP'!A916="", "", TRANSPOSE(INDIRECT(SUBSTITUTE(SUBSTITUTE(SUBSTITUTE('STANDAR RESEP'!A916, " ", "_"), "(", ""), ")", ""))))</f>
        <v/>
      </c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39"/>
      <c r="X889" s="17"/>
      <c r="Y889" s="40" t="str">
        <f t="array" ref="Y889">IF('STANDAR RESEP'!A917="", "", TRANSPOSE(INDIRECT(SUBSTITUTE(SUBSTITUTE(SUBSTITUTE('STANDAR RESEP'!A917, " ", "_"), "(", ""), ")", ""))))</f>
        <v/>
      </c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39"/>
      <c r="X890" s="17"/>
      <c r="Y890" s="40" t="str">
        <f t="array" ref="Y890">IF('STANDAR RESEP'!A918="", "", TRANSPOSE(INDIRECT(SUBSTITUTE(SUBSTITUTE(SUBSTITUTE('STANDAR RESEP'!A918, " ", "_"), "(", ""), ")", ""))))</f>
        <v/>
      </c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39"/>
      <c r="X891" s="17"/>
      <c r="Y891" s="40" t="str">
        <f t="array" ref="Y891">IF('STANDAR RESEP'!A919="", "", TRANSPOSE(INDIRECT(SUBSTITUTE(SUBSTITUTE(SUBSTITUTE('STANDAR RESEP'!A919, " ", "_"), "(", ""), ")", ""))))</f>
        <v/>
      </c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39"/>
      <c r="X892" s="17"/>
      <c r="Y892" s="40" t="str">
        <f t="array" ref="Y892">IF('STANDAR RESEP'!A920="", "", TRANSPOSE(INDIRECT(SUBSTITUTE(SUBSTITUTE(SUBSTITUTE('STANDAR RESEP'!A920, " ", "_"), "(", ""), ")", ""))))</f>
        <v/>
      </c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39"/>
      <c r="X893" s="17"/>
      <c r="Y893" s="40" t="str">
        <f t="array" ref="Y893">IF('STANDAR RESEP'!A921="", "", TRANSPOSE(INDIRECT(SUBSTITUTE(SUBSTITUTE(SUBSTITUTE('STANDAR RESEP'!A921, " ", "_"), "(", ""), ")", ""))))</f>
        <v/>
      </c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39"/>
      <c r="X894" s="17"/>
      <c r="Y894" s="40" t="str">
        <f t="array" ref="Y894">IF('STANDAR RESEP'!A922="", "", TRANSPOSE(INDIRECT(SUBSTITUTE(SUBSTITUTE(SUBSTITUTE('STANDAR RESEP'!A922, " ", "_"), "(", ""), ")", ""))))</f>
        <v/>
      </c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39"/>
      <c r="X895" s="17"/>
      <c r="Y895" s="40" t="str">
        <f t="array" ref="Y895">IF('STANDAR RESEP'!A923="", "", TRANSPOSE(INDIRECT(SUBSTITUTE(SUBSTITUTE(SUBSTITUTE('STANDAR RESEP'!A923, " ", "_"), "(", ""), ")", ""))))</f>
        <v/>
      </c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39"/>
      <c r="X896" s="17"/>
      <c r="Y896" s="40" t="str">
        <f t="array" ref="Y896">IF('STANDAR RESEP'!A924="", "", TRANSPOSE(INDIRECT(SUBSTITUTE(SUBSTITUTE(SUBSTITUTE('STANDAR RESEP'!A924, " ", "_"), "(", ""), ")", ""))))</f>
        <v/>
      </c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39"/>
      <c r="X897" s="17"/>
      <c r="Y897" s="40" t="str">
        <f t="array" ref="Y897">IF('STANDAR RESEP'!A925="", "", TRANSPOSE(INDIRECT(SUBSTITUTE(SUBSTITUTE(SUBSTITUTE('STANDAR RESEP'!A925, " ", "_"), "(", ""), ")", ""))))</f>
        <v/>
      </c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39"/>
      <c r="X898" s="17"/>
      <c r="Y898" s="40" t="str">
        <f t="array" ref="Y898">IF('STANDAR RESEP'!A926="", "", TRANSPOSE(INDIRECT(SUBSTITUTE(SUBSTITUTE(SUBSTITUTE('STANDAR RESEP'!A926, " ", "_"), "(", ""), ")", ""))))</f>
        <v/>
      </c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39"/>
      <c r="X899" s="17"/>
      <c r="Y899" s="40" t="str">
        <f t="array" ref="Y899">IF('STANDAR RESEP'!A927="", "", TRANSPOSE(INDIRECT(SUBSTITUTE(SUBSTITUTE(SUBSTITUTE('STANDAR RESEP'!A927, " ", "_"), "(", ""), ")", ""))))</f>
        <v/>
      </c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39"/>
      <c r="X900" s="17"/>
      <c r="Y900" s="40" t="str">
        <f t="array" ref="Y900">IF('STANDAR RESEP'!A928="", "", TRANSPOSE(INDIRECT(SUBSTITUTE(SUBSTITUTE(SUBSTITUTE('STANDAR RESEP'!A928, " ", "_"), "(", ""), ")", ""))))</f>
        <v/>
      </c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39"/>
      <c r="X901" s="17"/>
      <c r="Y901" s="40" t="str">
        <f t="array" ref="Y901">IF('STANDAR RESEP'!A929="", "", TRANSPOSE(INDIRECT(SUBSTITUTE(SUBSTITUTE(SUBSTITUTE('STANDAR RESEP'!A929, " ", "_"), "(", ""), ")", ""))))</f>
        <v/>
      </c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39"/>
      <c r="X902" s="17"/>
      <c r="Y902" s="40" t="str">
        <f t="array" ref="Y902">IF('STANDAR RESEP'!A930="", "", TRANSPOSE(INDIRECT(SUBSTITUTE(SUBSTITUTE(SUBSTITUTE('STANDAR RESEP'!A930, " ", "_"), "(", ""), ")", ""))))</f>
        <v/>
      </c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39"/>
      <c r="X903" s="17"/>
      <c r="Y903" s="40" t="str">
        <f t="array" ref="Y903">IF('STANDAR RESEP'!A931="", "", TRANSPOSE(INDIRECT(SUBSTITUTE(SUBSTITUTE(SUBSTITUTE('STANDAR RESEP'!A931, " ", "_"), "(", ""), ")", ""))))</f>
        <v/>
      </c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39"/>
      <c r="X904" s="17"/>
      <c r="Y904" s="40" t="str">
        <f t="array" ref="Y904">IF('STANDAR RESEP'!A932="", "", TRANSPOSE(INDIRECT(SUBSTITUTE(SUBSTITUTE(SUBSTITUTE('STANDAR RESEP'!A932, " ", "_"), "(", ""), ")", ""))))</f>
        <v/>
      </c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39"/>
      <c r="X905" s="17"/>
      <c r="Y905" s="40" t="str">
        <f t="array" ref="Y905">IF('STANDAR RESEP'!A933="", "", TRANSPOSE(INDIRECT(SUBSTITUTE(SUBSTITUTE(SUBSTITUTE('STANDAR RESEP'!A933, " ", "_"), "(", ""), ")", ""))))</f>
        <v/>
      </c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39"/>
      <c r="X906" s="17"/>
      <c r="Y906" s="40" t="str">
        <f t="array" ref="Y906">IF('STANDAR RESEP'!A934="", "", TRANSPOSE(INDIRECT(SUBSTITUTE(SUBSTITUTE(SUBSTITUTE('STANDAR RESEP'!A934, " ", "_"), "(", ""), ")", ""))))</f>
        <v/>
      </c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39"/>
      <c r="X907" s="17"/>
      <c r="Y907" s="40" t="str">
        <f t="array" ref="Y907">IF('STANDAR RESEP'!A935="", "", TRANSPOSE(INDIRECT(SUBSTITUTE(SUBSTITUTE(SUBSTITUTE('STANDAR RESEP'!A935, " ", "_"), "(", ""), ")", ""))))</f>
        <v/>
      </c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39"/>
      <c r="X908" s="17"/>
      <c r="Y908" s="40" t="str">
        <f t="array" ref="Y908">IF('STANDAR RESEP'!A936="", "", TRANSPOSE(INDIRECT(SUBSTITUTE(SUBSTITUTE(SUBSTITUTE('STANDAR RESEP'!A936, " ", "_"), "(", ""), ")", ""))))</f>
        <v/>
      </c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39"/>
      <c r="X909" s="17"/>
      <c r="Y909" s="40" t="str">
        <f t="array" ref="Y909">IF('STANDAR RESEP'!A937="", "", TRANSPOSE(INDIRECT(SUBSTITUTE(SUBSTITUTE(SUBSTITUTE('STANDAR RESEP'!A937, " ", "_"), "(", ""), ")", ""))))</f>
        <v/>
      </c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39"/>
      <c r="X910" s="17"/>
      <c r="Y910" s="40" t="str">
        <f t="array" ref="Y910">IF('STANDAR RESEP'!A938="", "", TRANSPOSE(INDIRECT(SUBSTITUTE(SUBSTITUTE(SUBSTITUTE('STANDAR RESEP'!A938, " ", "_"), "(", ""), ")", ""))))</f>
        <v/>
      </c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39"/>
      <c r="X911" s="17"/>
      <c r="Y911" s="40" t="str">
        <f t="array" ref="Y911">IF('STANDAR RESEP'!A939="", "", TRANSPOSE(INDIRECT(SUBSTITUTE(SUBSTITUTE(SUBSTITUTE('STANDAR RESEP'!A939, " ", "_"), "(", ""), ")", ""))))</f>
        <v/>
      </c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39"/>
      <c r="X912" s="17"/>
      <c r="Y912" s="40" t="str">
        <f t="array" ref="Y912">IF('STANDAR RESEP'!A940="", "", TRANSPOSE(INDIRECT(SUBSTITUTE(SUBSTITUTE(SUBSTITUTE('STANDAR RESEP'!A940, " ", "_"), "(", ""), ")", ""))))</f>
        <v/>
      </c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39"/>
      <c r="X913" s="17"/>
      <c r="Y913" s="40" t="str">
        <f t="array" ref="Y913">IF('STANDAR RESEP'!A941="", "", TRANSPOSE(INDIRECT(SUBSTITUTE(SUBSTITUTE(SUBSTITUTE('STANDAR RESEP'!A941, " ", "_"), "(", ""), ")", ""))))</f>
        <v/>
      </c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39"/>
      <c r="X914" s="17"/>
      <c r="Y914" s="40" t="str">
        <f t="array" ref="Y914">IF('STANDAR RESEP'!A942="", "", TRANSPOSE(INDIRECT(SUBSTITUTE(SUBSTITUTE(SUBSTITUTE('STANDAR RESEP'!A942, " ", "_"), "(", ""), ")", ""))))</f>
        <v/>
      </c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39"/>
      <c r="X915" s="17"/>
      <c r="Y915" s="40" t="str">
        <f t="array" ref="Y915">IF('STANDAR RESEP'!A943="", "", TRANSPOSE(INDIRECT(SUBSTITUTE(SUBSTITUTE(SUBSTITUTE('STANDAR RESEP'!A943, " ", "_"), "(", ""), ")", ""))))</f>
        <v/>
      </c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39"/>
      <c r="X916" s="17"/>
      <c r="Y916" s="40" t="str">
        <f t="array" ref="Y916">IF('STANDAR RESEP'!A944="", "", TRANSPOSE(INDIRECT(SUBSTITUTE(SUBSTITUTE(SUBSTITUTE('STANDAR RESEP'!A944, " ", "_"), "(", ""), ")", ""))))</f>
        <v/>
      </c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39"/>
      <c r="X917" s="17"/>
      <c r="Y917" s="40" t="str">
        <f t="array" ref="Y917">IF('STANDAR RESEP'!A945="", "", TRANSPOSE(INDIRECT(SUBSTITUTE(SUBSTITUTE(SUBSTITUTE('STANDAR RESEP'!A945, " ", "_"), "(", ""), ")", ""))))</f>
        <v/>
      </c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39"/>
      <c r="X918" s="17"/>
      <c r="Y918" s="40" t="str">
        <f t="array" ref="Y918">IF('STANDAR RESEP'!A946="", "", TRANSPOSE(INDIRECT(SUBSTITUTE(SUBSTITUTE(SUBSTITUTE('STANDAR RESEP'!A946, " ", "_"), "(", ""), ")", ""))))</f>
        <v/>
      </c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39"/>
      <c r="X919" s="17"/>
      <c r="Y919" s="40" t="str">
        <f t="array" ref="Y919">IF('STANDAR RESEP'!A947="", "", TRANSPOSE(INDIRECT(SUBSTITUTE(SUBSTITUTE(SUBSTITUTE('STANDAR RESEP'!A947, " ", "_"), "(", ""), ")", ""))))</f>
        <v/>
      </c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39"/>
      <c r="X920" s="17"/>
      <c r="Y920" s="40" t="str">
        <f t="array" ref="Y920">IF('STANDAR RESEP'!A948="", "", TRANSPOSE(INDIRECT(SUBSTITUTE(SUBSTITUTE(SUBSTITUTE('STANDAR RESEP'!A948, " ", "_"), "(", ""), ")", ""))))</f>
        <v/>
      </c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39"/>
      <c r="X921" s="17"/>
      <c r="Y921" s="40" t="str">
        <f t="array" ref="Y921">IF('STANDAR RESEP'!A949="", "", TRANSPOSE(INDIRECT(SUBSTITUTE(SUBSTITUTE(SUBSTITUTE('STANDAR RESEP'!A949, " ", "_"), "(", ""), ")", ""))))</f>
        <v/>
      </c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39"/>
      <c r="X922" s="17"/>
      <c r="Y922" s="40" t="str">
        <f t="array" ref="Y922">IF('STANDAR RESEP'!A950="", "", TRANSPOSE(INDIRECT(SUBSTITUTE(SUBSTITUTE(SUBSTITUTE('STANDAR RESEP'!A950, " ", "_"), "(", ""), ")", ""))))</f>
        <v/>
      </c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39"/>
      <c r="X923" s="17"/>
      <c r="Y923" s="40" t="str">
        <f t="array" ref="Y923">IF('STANDAR RESEP'!A951="", "", TRANSPOSE(INDIRECT(SUBSTITUTE(SUBSTITUTE(SUBSTITUTE('STANDAR RESEP'!A951, " ", "_"), "(", ""), ")", ""))))</f>
        <v/>
      </c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39"/>
      <c r="X924" s="17"/>
      <c r="Y924" s="40" t="str">
        <f t="array" ref="Y924">IF('STANDAR RESEP'!A952="", "", TRANSPOSE(INDIRECT(SUBSTITUTE(SUBSTITUTE(SUBSTITUTE('STANDAR RESEP'!A952, " ", "_"), "(", ""), ")", ""))))</f>
        <v/>
      </c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39"/>
      <c r="X925" s="17"/>
      <c r="Y925" s="40" t="str">
        <f t="array" ref="Y925">IF('STANDAR RESEP'!A953="", "", TRANSPOSE(INDIRECT(SUBSTITUTE(SUBSTITUTE(SUBSTITUTE('STANDAR RESEP'!A953, " ", "_"), "(", ""), ")", ""))))</f>
        <v/>
      </c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39"/>
      <c r="X926" s="17"/>
      <c r="Y926" s="40" t="str">
        <f t="array" ref="Y926">IF('STANDAR RESEP'!A954="", "", TRANSPOSE(INDIRECT(SUBSTITUTE(SUBSTITUTE(SUBSTITUTE('STANDAR RESEP'!A954, " ", "_"), "(", ""), ")", ""))))</f>
        <v/>
      </c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39"/>
      <c r="X927" s="17"/>
      <c r="Y927" s="40" t="str">
        <f t="array" ref="Y927">IF('STANDAR RESEP'!A955="", "", TRANSPOSE(INDIRECT(SUBSTITUTE(SUBSTITUTE(SUBSTITUTE('STANDAR RESEP'!A955, " ", "_"), "(", ""), ")", ""))))</f>
        <v/>
      </c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39"/>
      <c r="X928" s="17"/>
      <c r="Y928" s="40" t="str">
        <f t="array" ref="Y928">IF('STANDAR RESEP'!A956="", "", TRANSPOSE(INDIRECT(SUBSTITUTE(SUBSTITUTE(SUBSTITUTE('STANDAR RESEP'!A956, " ", "_"), "(", ""), ")", ""))))</f>
        <v/>
      </c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39"/>
      <c r="X929" s="17"/>
      <c r="Y929" s="40" t="str">
        <f t="array" ref="Y929">IF('STANDAR RESEP'!A957="", "", TRANSPOSE(INDIRECT(SUBSTITUTE(SUBSTITUTE(SUBSTITUTE('STANDAR RESEP'!A957, " ", "_"), "(", ""), ")", ""))))</f>
        <v/>
      </c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39"/>
      <c r="X930" s="17"/>
      <c r="Y930" s="40" t="str">
        <f t="array" ref="Y930">IF('STANDAR RESEP'!A958="", "", TRANSPOSE(INDIRECT(SUBSTITUTE(SUBSTITUTE(SUBSTITUTE('STANDAR RESEP'!A958, " ", "_"), "(", ""), ")", ""))))</f>
        <v/>
      </c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39"/>
      <c r="X931" s="17"/>
      <c r="Y931" s="40" t="str">
        <f t="array" ref="Y931">IF('STANDAR RESEP'!A959="", "", TRANSPOSE(INDIRECT(SUBSTITUTE(SUBSTITUTE(SUBSTITUTE('STANDAR RESEP'!A959, " ", "_"), "(", ""), ")", ""))))</f>
        <v/>
      </c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39"/>
      <c r="X932" s="17"/>
      <c r="Y932" s="40" t="str">
        <f t="array" ref="Y932">IF('STANDAR RESEP'!A960="", "", TRANSPOSE(INDIRECT(SUBSTITUTE(SUBSTITUTE(SUBSTITUTE('STANDAR RESEP'!A960, " ", "_"), "(", ""), ")", ""))))</f>
        <v/>
      </c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39"/>
      <c r="X933" s="17"/>
      <c r="Y933" s="40" t="str">
        <f t="array" ref="Y933">IF('STANDAR RESEP'!A961="", "", TRANSPOSE(INDIRECT(SUBSTITUTE(SUBSTITUTE(SUBSTITUTE('STANDAR RESEP'!A961, " ", "_"), "(", ""), ")", ""))))</f>
        <v/>
      </c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39"/>
      <c r="X934" s="17"/>
      <c r="Y934" s="40" t="str">
        <f t="array" ref="Y934">IF('STANDAR RESEP'!A962="", "", TRANSPOSE(INDIRECT(SUBSTITUTE(SUBSTITUTE(SUBSTITUTE('STANDAR RESEP'!A962, " ", "_"), "(", ""), ")", ""))))</f>
        <v/>
      </c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39"/>
      <c r="X935" s="17"/>
      <c r="Y935" s="40" t="str">
        <f t="array" ref="Y935">IF('STANDAR RESEP'!A963="", "", TRANSPOSE(INDIRECT(SUBSTITUTE(SUBSTITUTE(SUBSTITUTE('STANDAR RESEP'!A963, " ", "_"), "(", ""), ")", ""))))</f>
        <v/>
      </c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39"/>
      <c r="X936" s="17"/>
      <c r="Y936" s="40" t="str">
        <f t="array" ref="Y936">IF('STANDAR RESEP'!A964="", "", TRANSPOSE(INDIRECT(SUBSTITUTE(SUBSTITUTE(SUBSTITUTE('STANDAR RESEP'!A964, " ", "_"), "(", ""), ")", ""))))</f>
        <v/>
      </c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39"/>
      <c r="X937" s="17"/>
      <c r="Y937" s="40" t="str">
        <f t="array" ref="Y937">IF('STANDAR RESEP'!A965="", "", TRANSPOSE(INDIRECT(SUBSTITUTE(SUBSTITUTE(SUBSTITUTE('STANDAR RESEP'!A965, " ", "_"), "(", ""), ")", ""))))</f>
        <v/>
      </c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39"/>
      <c r="X938" s="17"/>
      <c r="Y938" s="40" t="str">
        <f t="array" ref="Y938">IF('STANDAR RESEP'!A966="", "", TRANSPOSE(INDIRECT(SUBSTITUTE(SUBSTITUTE(SUBSTITUTE('STANDAR RESEP'!A966, " ", "_"), "(", ""), ")", ""))))</f>
        <v/>
      </c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39"/>
      <c r="X939" s="17"/>
      <c r="Y939" s="40" t="str">
        <f t="array" ref="Y939">IF('STANDAR RESEP'!A967="", "", TRANSPOSE(INDIRECT(SUBSTITUTE(SUBSTITUTE(SUBSTITUTE('STANDAR RESEP'!A967, " ", "_"), "(", ""), ")", ""))))</f>
        <v/>
      </c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39"/>
      <c r="X940" s="17"/>
      <c r="Y940" s="40" t="str">
        <f t="array" ref="Y940">IF('STANDAR RESEP'!A968="", "", TRANSPOSE(INDIRECT(SUBSTITUTE(SUBSTITUTE(SUBSTITUTE('STANDAR RESEP'!A968, " ", "_"), "(", ""), ")", ""))))</f>
        <v/>
      </c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39"/>
      <c r="X941" s="17"/>
      <c r="Y941" s="40" t="str">
        <f t="array" ref="Y941">IF('STANDAR RESEP'!A969="", "", TRANSPOSE(INDIRECT(SUBSTITUTE(SUBSTITUTE(SUBSTITUTE('STANDAR RESEP'!A969, " ", "_"), "(", ""), ")", ""))))</f>
        <v/>
      </c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39"/>
      <c r="X942" s="17"/>
      <c r="Y942" s="40" t="str">
        <f t="array" ref="Y942">IF('STANDAR RESEP'!A970="", "", TRANSPOSE(INDIRECT(SUBSTITUTE(SUBSTITUTE(SUBSTITUTE('STANDAR RESEP'!A970, " ", "_"), "(", ""), ")", ""))))</f>
        <v/>
      </c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39"/>
      <c r="X943" s="17"/>
      <c r="Y943" s="40" t="str">
        <f t="array" ref="Y943">IF('STANDAR RESEP'!A971="", "", TRANSPOSE(INDIRECT(SUBSTITUTE(SUBSTITUTE(SUBSTITUTE('STANDAR RESEP'!A971, " ", "_"), "(", ""), ")", ""))))</f>
        <v/>
      </c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39"/>
      <c r="X944" s="17"/>
      <c r="Y944" s="40" t="str">
        <f t="array" ref="Y944">IF('STANDAR RESEP'!A972="", "", TRANSPOSE(INDIRECT(SUBSTITUTE(SUBSTITUTE(SUBSTITUTE('STANDAR RESEP'!A972, " ", "_"), "(", ""), ")", ""))))</f>
        <v/>
      </c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39"/>
      <c r="X945" s="17"/>
      <c r="Y945" s="40" t="str">
        <f t="array" ref="Y945">IF('STANDAR RESEP'!A973="", "", TRANSPOSE(INDIRECT(SUBSTITUTE(SUBSTITUTE(SUBSTITUTE('STANDAR RESEP'!A973, " ", "_"), "(", ""), ")", ""))))</f>
        <v/>
      </c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39"/>
      <c r="X946" s="17"/>
      <c r="Y946" s="40" t="str">
        <f t="array" ref="Y946">IF('STANDAR RESEP'!A974="", "", TRANSPOSE(INDIRECT(SUBSTITUTE(SUBSTITUTE(SUBSTITUTE('STANDAR RESEP'!A974, " ", "_"), "(", ""), ")", ""))))</f>
        <v/>
      </c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39"/>
      <c r="X947" s="17"/>
      <c r="Y947" s="40" t="str">
        <f t="array" ref="Y947">IF('STANDAR RESEP'!A975="", "", TRANSPOSE(INDIRECT(SUBSTITUTE(SUBSTITUTE(SUBSTITUTE('STANDAR RESEP'!A975, " ", "_"), "(", ""), ")", ""))))</f>
        <v/>
      </c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39"/>
      <c r="X948" s="17"/>
      <c r="Y948" s="40" t="str">
        <f t="array" ref="Y948">IF('STANDAR RESEP'!A976="", "", TRANSPOSE(INDIRECT(SUBSTITUTE(SUBSTITUTE(SUBSTITUTE('STANDAR RESEP'!A976, " ", "_"), "(", ""), ")", ""))))</f>
        <v/>
      </c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39"/>
      <c r="X949" s="17"/>
      <c r="Y949" s="40" t="str">
        <f t="array" ref="Y949">IF('STANDAR RESEP'!A977="", "", TRANSPOSE(INDIRECT(SUBSTITUTE(SUBSTITUTE(SUBSTITUTE('STANDAR RESEP'!A977, " ", "_"), "(", ""), ")", ""))))</f>
        <v/>
      </c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39"/>
      <c r="X950" s="17"/>
      <c r="Y950" s="40" t="str">
        <f t="array" ref="Y950">IF('STANDAR RESEP'!A978="", "", TRANSPOSE(INDIRECT(SUBSTITUTE(SUBSTITUTE(SUBSTITUTE('STANDAR RESEP'!A978, " ", "_"), "(", ""), ")", ""))))</f>
        <v/>
      </c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39"/>
      <c r="X951" s="17"/>
      <c r="Y951" s="40" t="str">
        <f t="array" ref="Y951">IF('STANDAR RESEP'!A979="", "", TRANSPOSE(INDIRECT(SUBSTITUTE(SUBSTITUTE(SUBSTITUTE('STANDAR RESEP'!A979, " ", "_"), "(", ""), ")", ""))))</f>
        <v/>
      </c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39"/>
      <c r="X952" s="17"/>
      <c r="Y952" s="40" t="str">
        <f t="array" ref="Y952">IF('STANDAR RESEP'!A980="", "", TRANSPOSE(INDIRECT(SUBSTITUTE(SUBSTITUTE(SUBSTITUTE('STANDAR RESEP'!A980, " ", "_"), "(", ""), ")", ""))))</f>
        <v/>
      </c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39"/>
      <c r="X953" s="17"/>
      <c r="Y953" s="40" t="str">
        <f t="array" ref="Y953">IF('STANDAR RESEP'!A981="", "", TRANSPOSE(INDIRECT(SUBSTITUTE(SUBSTITUTE(SUBSTITUTE('STANDAR RESEP'!A981, " ", "_"), "(", ""), ")", ""))))</f>
        <v/>
      </c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39"/>
      <c r="X954" s="17"/>
      <c r="Y954" s="40" t="str">
        <f t="array" ref="Y954">IF('STANDAR RESEP'!A982="", "", TRANSPOSE(INDIRECT(SUBSTITUTE(SUBSTITUTE(SUBSTITUTE('STANDAR RESEP'!A982, " ", "_"), "(", ""), ")", ""))))</f>
        <v/>
      </c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39"/>
      <c r="X955" s="17"/>
      <c r="Y955" s="40" t="str">
        <f t="array" ref="Y955">IF('STANDAR RESEP'!A983="", "", TRANSPOSE(INDIRECT(SUBSTITUTE(SUBSTITUTE(SUBSTITUTE('STANDAR RESEP'!A983, " ", "_"), "(", ""), ")", ""))))</f>
        <v/>
      </c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39"/>
      <c r="X956" s="17"/>
      <c r="Y956" s="40" t="str">
        <f t="array" ref="Y956">IF('STANDAR RESEP'!A984="", "", TRANSPOSE(INDIRECT(SUBSTITUTE(SUBSTITUTE(SUBSTITUTE('STANDAR RESEP'!A984, " ", "_"), "(", ""), ")", ""))))</f>
        <v/>
      </c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39"/>
      <c r="X957" s="17"/>
      <c r="Y957" s="40" t="str">
        <f t="array" ref="Y957">IF('STANDAR RESEP'!A985="", "", TRANSPOSE(INDIRECT(SUBSTITUTE(SUBSTITUTE(SUBSTITUTE('STANDAR RESEP'!A985, " ", "_"), "(", ""), ")", ""))))</f>
        <v/>
      </c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39"/>
      <c r="X958" s="17"/>
      <c r="Y958" s="40" t="str">
        <f t="array" ref="Y958">IF('STANDAR RESEP'!A986="", "", TRANSPOSE(INDIRECT(SUBSTITUTE(SUBSTITUTE(SUBSTITUTE('STANDAR RESEP'!A986, " ", "_"), "(", ""), ")", ""))))</f>
        <v/>
      </c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39"/>
      <c r="X959" s="17"/>
      <c r="Y959" s="40" t="str">
        <f t="array" ref="Y959">IF('STANDAR RESEP'!A987="", "", TRANSPOSE(INDIRECT(SUBSTITUTE(SUBSTITUTE(SUBSTITUTE('STANDAR RESEP'!A987, " ", "_"), "(", ""), ")", ""))))</f>
        <v/>
      </c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39"/>
      <c r="X960" s="17"/>
      <c r="Y960" s="40" t="str">
        <f t="array" ref="Y960">IF('STANDAR RESEP'!A988="", "", TRANSPOSE(INDIRECT(SUBSTITUTE(SUBSTITUTE(SUBSTITUTE('STANDAR RESEP'!A988, " ", "_"), "(", ""), ")", ""))))</f>
        <v/>
      </c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39"/>
      <c r="X961" s="17"/>
      <c r="Y961" s="40" t="str">
        <f t="array" ref="Y961">IF('STANDAR RESEP'!A989="", "", TRANSPOSE(INDIRECT(SUBSTITUTE(SUBSTITUTE(SUBSTITUTE('STANDAR RESEP'!A989, " ", "_"), "(", ""), ")", ""))))</f>
        <v/>
      </c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39"/>
      <c r="X962" s="17"/>
      <c r="Y962" s="40" t="str">
        <f t="array" ref="Y962">IF('STANDAR RESEP'!A990="", "", TRANSPOSE(INDIRECT(SUBSTITUTE(SUBSTITUTE(SUBSTITUTE('STANDAR RESEP'!A990, " ", "_"), "(", ""), ")", ""))))</f>
        <v/>
      </c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39"/>
      <c r="X963" s="17"/>
      <c r="Y963" s="40" t="str">
        <f t="array" ref="Y963">IF('STANDAR RESEP'!A991="", "", TRANSPOSE(INDIRECT(SUBSTITUTE(SUBSTITUTE(SUBSTITUTE('STANDAR RESEP'!A991, " ", "_"), "(", ""), ")", ""))))</f>
        <v/>
      </c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39"/>
      <c r="X964" s="17"/>
      <c r="Y964" s="40" t="str">
        <f t="array" ref="Y964">IF('STANDAR RESEP'!A992="", "", TRANSPOSE(INDIRECT(SUBSTITUTE(SUBSTITUTE(SUBSTITUTE('STANDAR RESEP'!A992, " ", "_"), "(", ""), ")", ""))))</f>
        <v/>
      </c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39"/>
      <c r="X965" s="17"/>
      <c r="Y965" s="40" t="str">
        <f t="array" ref="Y965">IF('STANDAR RESEP'!A993="", "", TRANSPOSE(INDIRECT(SUBSTITUTE(SUBSTITUTE(SUBSTITUTE('STANDAR RESEP'!A993, " ", "_"), "(", ""), ")", ""))))</f>
        <v/>
      </c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39"/>
      <c r="X966" s="17"/>
      <c r="Y966" s="40" t="str">
        <f t="array" ref="Y966">IF('STANDAR RESEP'!A994="", "", TRANSPOSE(INDIRECT(SUBSTITUTE(SUBSTITUTE(SUBSTITUTE('STANDAR RESEP'!A994, " ", "_"), "(", ""), ")", ""))))</f>
        <v/>
      </c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39"/>
      <c r="X967" s="17"/>
      <c r="Y967" s="40" t="str">
        <f t="array" ref="Y967">IF('STANDAR RESEP'!A995="", "", TRANSPOSE(INDIRECT(SUBSTITUTE(SUBSTITUTE(SUBSTITUTE('STANDAR RESEP'!A995, " ", "_"), "(", ""), ")", ""))))</f>
        <v/>
      </c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39"/>
      <c r="X968" s="17"/>
      <c r="Y968" s="40" t="str">
        <f t="array" ref="Y968">IF('STANDAR RESEP'!A996="", "", TRANSPOSE(INDIRECT(SUBSTITUTE(SUBSTITUTE(SUBSTITUTE('STANDAR RESEP'!A996, " ", "_"), "(", ""), ")", ""))))</f>
        <v/>
      </c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39"/>
      <c r="X969" s="17"/>
      <c r="Y969" s="40" t="str">
        <f t="array" ref="Y969">IF('STANDAR RESEP'!A997="", "", TRANSPOSE(INDIRECT(SUBSTITUTE(SUBSTITUTE(SUBSTITUTE('STANDAR RESEP'!A997, " ", "_"), "(", ""), ")", ""))))</f>
        <v/>
      </c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39"/>
      <c r="X970" s="17"/>
      <c r="Y970" s="40" t="str">
        <f t="array" ref="Y970">IF('STANDAR RESEP'!A998="", "", TRANSPOSE(INDIRECT(SUBSTITUTE(SUBSTITUTE(SUBSTITUTE('STANDAR RESEP'!A998, " ", "_"), "(", ""), ")", ""))))</f>
        <v/>
      </c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39"/>
      <c r="X971" s="17"/>
      <c r="Y971" s="40" t="str">
        <f t="array" ref="Y971">IF('STANDAR RESEP'!A999="", "", TRANSPOSE(INDIRECT(SUBSTITUTE(SUBSTITUTE(SUBSTITUTE('STANDAR RESEP'!A999, " ", "_"), "(", ""), ")", ""))))</f>
        <v/>
      </c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39"/>
      <c r="X972" s="17"/>
      <c r="Y972" s="40" t="str">
        <f t="array" ref="Y972">IF('STANDAR RESEP'!A1000="", "", TRANSPOSE(INDIRECT(SUBSTITUTE(SUBSTITUTE(SUBSTITUTE('STANDAR RESEP'!A1000, " ", "_"), "(", ""), ")", ""))))</f>
        <v/>
      </c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39"/>
      <c r="X973" s="17"/>
      <c r="Y973" s="40" t="str">
        <f t="array" ref="Y973">IF('STANDAR RESEP'!A1001="", "", TRANSPOSE(INDIRECT(SUBSTITUTE(SUBSTITUTE(SUBSTITUTE('STANDAR RESEP'!A1001, " ", "_"), "(", ""), ")", ""))))</f>
        <v/>
      </c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39"/>
      <c r="X974" s="17"/>
      <c r="Y974" s="40" t="str">
        <f t="array" ref="Y974">IF('STANDAR RESEP'!A1002="", "", TRANSPOSE(INDIRECT(SUBSTITUTE(SUBSTITUTE(SUBSTITUTE('STANDAR RESEP'!A1002, " ", "_"), "(", ""), ")", ""))))</f>
        <v/>
      </c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39"/>
      <c r="X975" s="17"/>
      <c r="Y975" s="40" t="str">
        <f t="array" ref="Y975">IF('STANDAR RESEP'!A1003="", "", TRANSPOSE(INDIRECT(SUBSTITUTE(SUBSTITUTE(SUBSTITUTE('STANDAR RESEP'!A1003, " ", "_"), "(", ""), ")", ""))))</f>
        <v/>
      </c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39"/>
      <c r="X976" s="17"/>
      <c r="Y976" s="40" t="str">
        <f t="array" ref="Y976">IF('STANDAR RESEP'!A1004="", "", TRANSPOSE(INDIRECT(SUBSTITUTE(SUBSTITUTE(SUBSTITUTE('STANDAR RESEP'!A1004, " ", "_"), "(", ""), ")", ""))))</f>
        <v/>
      </c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39"/>
      <c r="X977" s="17"/>
      <c r="Y977" s="40" t="str">
        <f t="array" ref="Y977">IF('STANDAR RESEP'!A1005="", "", TRANSPOSE(INDIRECT(SUBSTITUTE(SUBSTITUTE(SUBSTITUTE('STANDAR RESEP'!A1005, " ", "_"), "(", ""), ")", ""))))</f>
        <v/>
      </c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39"/>
      <c r="X978" s="17"/>
      <c r="Y978" s="40" t="str">
        <f t="array" ref="Y978">IF('STANDAR RESEP'!A1006="", "", TRANSPOSE(INDIRECT(SUBSTITUTE(SUBSTITUTE(SUBSTITUTE('STANDAR RESEP'!A1006, " ", "_"), "(", ""), ")", ""))))</f>
        <v/>
      </c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39"/>
      <c r="X979" s="17"/>
      <c r="Y979" s="40" t="str">
        <f t="array" ref="Y979">IF('STANDAR RESEP'!A1007="", "", TRANSPOSE(INDIRECT(SUBSTITUTE(SUBSTITUTE(SUBSTITUTE('STANDAR RESEP'!A1007, " ", "_"), "(", ""), ")", ""))))</f>
        <v/>
      </c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39"/>
      <c r="X980" s="17"/>
      <c r="Y980" s="40" t="str">
        <f t="array" ref="Y980">IF('STANDAR RESEP'!A1008="", "", TRANSPOSE(INDIRECT(SUBSTITUTE(SUBSTITUTE(SUBSTITUTE('STANDAR RESEP'!A1008, " ", "_"), "(", ""), ")", ""))))</f>
        <v/>
      </c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39"/>
      <c r="X981" s="17"/>
      <c r="Y981" s="40" t="str">
        <f t="array" ref="Y981">IF('STANDAR RESEP'!A1009="", "", TRANSPOSE(INDIRECT(SUBSTITUTE(SUBSTITUTE(SUBSTITUTE('STANDAR RESEP'!A1009, " ", "_"), "(", ""), ")", ""))))</f>
        <v/>
      </c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39"/>
      <c r="X982" s="17"/>
      <c r="Y982" s="40" t="str">
        <f t="array" ref="Y982">IF('STANDAR RESEP'!A1010="", "", TRANSPOSE(INDIRECT(SUBSTITUTE(SUBSTITUTE(SUBSTITUTE('STANDAR RESEP'!A1010, " ", "_"), "(", ""), ")", ""))))</f>
        <v/>
      </c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39"/>
      <c r="X983" s="17"/>
      <c r="Y983" s="40" t="str">
        <f t="array" ref="Y983">IF('STANDAR RESEP'!A1011="", "", TRANSPOSE(INDIRECT(SUBSTITUTE(SUBSTITUTE(SUBSTITUTE('STANDAR RESEP'!A1011, " ", "_"), "(", ""), ")", ""))))</f>
        <v/>
      </c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39"/>
      <c r="X984" s="17"/>
      <c r="Y984" s="40" t="str">
        <f t="array" ref="Y984">IF('STANDAR RESEP'!A1012="", "", TRANSPOSE(INDIRECT(SUBSTITUTE(SUBSTITUTE(SUBSTITUTE('STANDAR RESEP'!A1012, " ", "_"), "(", ""), ")", ""))))</f>
        <v/>
      </c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39"/>
      <c r="X985" s="17"/>
      <c r="Y985" s="40" t="str">
        <f t="array" ref="Y985">IF('STANDAR RESEP'!A1013="", "", TRANSPOSE(INDIRECT(SUBSTITUTE(SUBSTITUTE(SUBSTITUTE('STANDAR RESEP'!A1013, " ", "_"), "(", ""), ")", ""))))</f>
        <v/>
      </c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39"/>
      <c r="X986" s="17"/>
      <c r="Y986" s="40" t="str">
        <f t="array" ref="Y986">IF('STANDAR RESEP'!A1014="", "", TRANSPOSE(INDIRECT(SUBSTITUTE(SUBSTITUTE(SUBSTITUTE('STANDAR RESEP'!A1014, " ", "_"), "(", ""), ")", ""))))</f>
        <v/>
      </c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39"/>
      <c r="X987" s="17"/>
      <c r="Y987" s="40" t="str">
        <f t="array" ref="Y987">IF('STANDAR RESEP'!A1015="", "", TRANSPOSE(INDIRECT(SUBSTITUTE(SUBSTITUTE(SUBSTITUTE('STANDAR RESEP'!A1015, " ", "_"), "(", ""), ")", ""))))</f>
        <v/>
      </c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39"/>
      <c r="X988" s="17"/>
      <c r="Y988" s="40" t="str">
        <f t="array" ref="Y988">IF('STANDAR RESEP'!A1016="", "", TRANSPOSE(INDIRECT(SUBSTITUTE(SUBSTITUTE(SUBSTITUTE('STANDAR RESEP'!A1016, " ", "_"), "(", ""), ")", ""))))</f>
        <v/>
      </c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39"/>
      <c r="X989" s="17"/>
      <c r="Y989" s="40" t="str">
        <f t="array" ref="Y989">IF('STANDAR RESEP'!A1017="", "", TRANSPOSE(INDIRECT(SUBSTITUTE(SUBSTITUTE(SUBSTITUTE('STANDAR RESEP'!A1017, " ", "_"), "(", ""), ")", ""))))</f>
        <v/>
      </c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39"/>
      <c r="X990" s="17"/>
      <c r="Y990" s="40" t="str">
        <f t="array" ref="Y990">IF('STANDAR RESEP'!A1018="", "", TRANSPOSE(INDIRECT(SUBSTITUTE(SUBSTITUTE(SUBSTITUTE('STANDAR RESEP'!A1018, " ", "_"), "(", ""), ")", ""))))</f>
        <v/>
      </c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39"/>
      <c r="X991" s="17"/>
      <c r="Y991" s="40" t="str">
        <f t="array" ref="Y991">IF('STANDAR RESEP'!A1019="", "", TRANSPOSE(INDIRECT(SUBSTITUTE(SUBSTITUTE(SUBSTITUTE('STANDAR RESEP'!A1019, " ", "_"), "(", ""), ")", ""))))</f>
        <v/>
      </c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39"/>
      <c r="X992" s="17"/>
      <c r="Y992" s="40" t="str">
        <f t="array" ref="Y992">IF('STANDAR RESEP'!A1020="", "", TRANSPOSE(INDIRECT(SUBSTITUTE(SUBSTITUTE(SUBSTITUTE('STANDAR RESEP'!A1020, " ", "_"), "(", ""), ")", ""))))</f>
        <v/>
      </c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39"/>
      <c r="X993" s="17"/>
      <c r="Y993" s="40" t="str">
        <f t="array" ref="Y993">IF('STANDAR RESEP'!A1021="", "", TRANSPOSE(INDIRECT(SUBSTITUTE(SUBSTITUTE(SUBSTITUTE('STANDAR RESEP'!A1021, " ", "_"), "(", ""), ")", ""))))</f>
        <v/>
      </c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39"/>
      <c r="X994" s="17"/>
      <c r="Y994" s="40" t="str">
        <f t="array" ref="Y994">IF('STANDAR RESEP'!A1022="", "", TRANSPOSE(INDIRECT(SUBSTITUTE(SUBSTITUTE(SUBSTITUTE('STANDAR RESEP'!A1022, " ", "_"), "(", ""), ")", ""))))</f>
        <v/>
      </c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39"/>
      <c r="X995" s="17"/>
      <c r="Y995" s="40" t="str">
        <f t="array" ref="Y995">IF('STANDAR RESEP'!A1023="", "", TRANSPOSE(INDIRECT(SUBSTITUTE(SUBSTITUTE(SUBSTITUTE('STANDAR RESEP'!A1023, " ", "_"), "(", ""), ")", ""))))</f>
        <v/>
      </c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39"/>
      <c r="X996" s="17"/>
      <c r="Y996" s="40" t="str">
        <f t="array" ref="Y996">IF('STANDAR RESEP'!A1024="", "", TRANSPOSE(INDIRECT(SUBSTITUTE(SUBSTITUTE(SUBSTITUTE('STANDAR RESEP'!A1024, " ", "_"), "(", ""), ")", ""))))</f>
        <v/>
      </c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39"/>
      <c r="X997" s="17"/>
      <c r="Y997" s="40" t="str">
        <f t="array" ref="Y997">IF('STANDAR RESEP'!A1025="", "", TRANSPOSE(INDIRECT(SUBSTITUTE(SUBSTITUTE(SUBSTITUTE('STANDAR RESEP'!A1025, " ", "_"), "(", ""), ")", ""))))</f>
        <v/>
      </c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39"/>
      <c r="X998" s="17"/>
      <c r="Y998" s="40" t="str">
        <f t="array" ref="Y998">IF('STANDAR RESEP'!A1026="", "", TRANSPOSE(INDIRECT(SUBSTITUTE(SUBSTITUTE(SUBSTITUTE('STANDAR RESEP'!A1026, " ", "_"), "(", ""), ")", ""))))</f>
        <v/>
      </c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39"/>
      <c r="X999" s="17"/>
      <c r="Y999" s="40" t="str">
        <f t="array" ref="Y999">IF('STANDAR RESEP'!A1027="", "", TRANSPOSE(INDIRECT(SUBSTITUTE(SUBSTITUTE(SUBSTITUTE('STANDAR RESEP'!A1027, " ", "_"), "(", ""), ")", ""))))</f>
        <v/>
      </c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39"/>
      <c r="X1000" s="17"/>
      <c r="Y1000" s="40" t="str">
        <f t="array" ref="Y1000">IF('STANDAR RESEP'!A1028="", "", TRANSPOSE(INDIRECT(SUBSTITUTE(SUBSTITUTE(SUBSTITUTE('STANDAR RESEP'!A1028, " ", "_"), "(", ""), ")", ""))))</f>
        <v/>
      </c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39"/>
      <c r="X1001" s="17"/>
      <c r="Y1001" s="40" t="str">
        <f t="array" ref="Y1001">IF('STANDAR RESEP'!A1029="", "", TRANSPOSE(INDIRECT(SUBSTITUTE(SUBSTITUTE(SUBSTITUTE('STANDAR RESEP'!A1029, " ", "_"), "(", ""), ")", ""))))</f>
        <v/>
      </c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39"/>
      <c r="X1002" s="17"/>
      <c r="Y1002" s="40" t="str">
        <f t="array" ref="Y1002">IF('STANDAR RESEP'!A1030="", "", TRANSPOSE(INDIRECT(SUBSTITUTE(SUBSTITUTE(SUBSTITUTE('STANDAR RESEP'!A1030, " ", "_"), "(", ""), ")", ""))))</f>
        <v/>
      </c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39"/>
      <c r="X1003" s="17"/>
      <c r="Y1003" s="40" t="str">
        <f t="array" ref="Y1003">IF('STANDAR RESEP'!A1031="", "", TRANSPOSE(INDIRECT(SUBSTITUTE(SUBSTITUTE(SUBSTITUTE('STANDAR RESEP'!A1031, " ", "_"), "(", ""), ")", ""))))</f>
        <v/>
      </c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39"/>
      <c r="X1004" s="17"/>
      <c r="Y1004" s="40" t="str">
        <f t="array" ref="Y1004">IF('STANDAR RESEP'!A1032="", "", TRANSPOSE(INDIRECT(SUBSTITUTE(SUBSTITUTE(SUBSTITUTE('STANDAR RESEP'!A1032, " ", "_"), "(", ""), ")", ""))))</f>
        <v/>
      </c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39"/>
      <c r="X1005" s="17"/>
      <c r="Y1005" s="40" t="str">
        <f t="array" ref="Y1005">IF('STANDAR RESEP'!A1033="", "", TRANSPOSE(INDIRECT(SUBSTITUTE(SUBSTITUTE(SUBSTITUTE('STANDAR RESEP'!A1033, " ", "_"), "(", ""), ")", ""))))</f>
        <v/>
      </c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39"/>
      <c r="X1006" s="17"/>
      <c r="Y1006" s="40" t="str">
        <f t="array" ref="Y1006">IF('STANDAR RESEP'!A1034="", "", TRANSPOSE(INDIRECT(SUBSTITUTE(SUBSTITUTE(SUBSTITUTE('STANDAR RESEP'!A1034, " ", "_"), "(", ""), ")", ""))))</f>
        <v/>
      </c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39"/>
      <c r="X1007" s="17"/>
      <c r="Y1007" s="40" t="str">
        <f t="array" ref="Y1007">IF('STANDAR RESEP'!A1035="", "", TRANSPOSE(INDIRECT(SUBSTITUTE(SUBSTITUTE(SUBSTITUTE('STANDAR RESEP'!A1035, " ", "_"), "(", ""), ")", ""))))</f>
        <v/>
      </c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39"/>
      <c r="X1008" s="17"/>
      <c r="Y1008" s="40" t="str">
        <f t="array" ref="Y1008">IF('STANDAR RESEP'!A1036="", "", TRANSPOSE(INDIRECT(SUBSTITUTE(SUBSTITUTE(SUBSTITUTE('STANDAR RESEP'!A1036, " ", "_"), "(", ""), ")", ""))))</f>
        <v/>
      </c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39"/>
      <c r="X1009" s="17"/>
      <c r="Y1009" s="40" t="str">
        <f t="array" ref="Y1009">IF('STANDAR RESEP'!A1037="", "", TRANSPOSE(INDIRECT(SUBSTITUTE(SUBSTITUTE(SUBSTITUTE('STANDAR RESEP'!A1037, " ", "_"), "(", ""), ")", ""))))</f>
        <v/>
      </c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39"/>
      <c r="X1010" s="17"/>
      <c r="Y1010" s="40" t="str">
        <f t="array" ref="Y1010">IF('STANDAR RESEP'!A1038="", "", TRANSPOSE(INDIRECT(SUBSTITUTE(SUBSTITUTE(SUBSTITUTE('STANDAR RESEP'!A1038, " ", "_"), "(", ""), ")", ""))))</f>
        <v/>
      </c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39"/>
      <c r="X1011" s="17"/>
      <c r="Y1011" s="40" t="str">
        <f t="array" ref="Y1011">IF('STANDAR RESEP'!A1039="", "", TRANSPOSE(INDIRECT(SUBSTITUTE(SUBSTITUTE(SUBSTITUTE('STANDAR RESEP'!A1039, " ", "_"), "(", ""), ")", ""))))</f>
        <v/>
      </c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39"/>
      <c r="X1012" s="17"/>
      <c r="Y1012" s="40" t="str">
        <f t="array" ref="Y1012">IF('STANDAR RESEP'!A1040="", "", TRANSPOSE(INDIRECT(SUBSTITUTE(SUBSTITUTE(SUBSTITUTE('STANDAR RESEP'!A1040, " ", "_"), "(", ""), ")", ""))))</f>
        <v/>
      </c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39"/>
      <c r="X1013" s="17"/>
      <c r="Y1013" s="40" t="str">
        <f t="array" ref="Y1013">IF('STANDAR RESEP'!A1041="", "", TRANSPOSE(INDIRECT(SUBSTITUTE(SUBSTITUTE(SUBSTITUTE('STANDAR RESEP'!A1041, " ", "_"), "(", ""), ")", ""))))</f>
        <v/>
      </c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39"/>
      <c r="X1014" s="17"/>
      <c r="Y1014" s="40" t="str">
        <f t="array" ref="Y1014">IF('STANDAR RESEP'!A1042="", "", TRANSPOSE(INDIRECT(SUBSTITUTE(SUBSTITUTE(SUBSTITUTE('STANDAR RESEP'!A1042, " ", "_"), "(", ""), ")", ""))))</f>
        <v/>
      </c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230</v>
      </c>
      <c r="B1" s="41" t="s">
        <v>231</v>
      </c>
      <c r="C1" s="41" t="s">
        <v>232</v>
      </c>
      <c r="D1" s="41" t="s">
        <v>219</v>
      </c>
      <c r="E1" s="41" t="s">
        <v>233</v>
      </c>
      <c r="F1" s="41" t="s">
        <v>234</v>
      </c>
      <c r="G1" s="41" t="s">
        <v>235</v>
      </c>
      <c r="H1" s="41" t="s">
        <v>236</v>
      </c>
      <c r="I1" s="41" t="s">
        <v>237</v>
      </c>
    </row>
  </sheetData>
  <drawing r:id="rId1"/>
</worksheet>
</file>